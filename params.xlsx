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3-my.sharepoint.com/personal/bruno_mattos_americanas_io/Documents/Documentos/GitHub/ILS-FCVRP/"/>
    </mc:Choice>
  </mc:AlternateContent>
  <xr:revisionPtr revIDLastSave="0" documentId="8_{AB06B24C-F429-456F-BC9A-9FDBEA471382}" xr6:coauthVersionLast="47" xr6:coauthVersionMax="47" xr10:uidLastSave="{00000000-0000-0000-0000-000000000000}"/>
  <bookViews>
    <workbookView xWindow="-109" yWindow="-109" windowWidth="26301" windowHeight="14169" activeTab="1" xr2:uid="{62E38149-9371-49D1-8B28-78CD2C3633D9}"/>
  </bookViews>
  <sheets>
    <sheet name="Planilha2" sheetId="2" r:id="rId1"/>
    <sheet name="Planilha1" sheetId="1" r:id="rId2"/>
  </sheets>
  <externalReferences>
    <externalReference r:id="rId3"/>
  </externalReferences>
  <definedNames>
    <definedName name="_xlnm._FilterDatabase" localSheetId="1" hidden="1">Planilha1!$A$1:$F$181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6" i="1"/>
  <c r="F17" i="1"/>
  <c r="F18" i="1"/>
  <c r="F24" i="1"/>
  <c r="F25" i="1"/>
  <c r="F26" i="1"/>
  <c r="F32" i="1"/>
  <c r="F33" i="1"/>
  <c r="F34" i="1"/>
  <c r="F40" i="1"/>
  <c r="F41" i="1"/>
  <c r="F42" i="1"/>
  <c r="F48" i="1"/>
  <c r="F49" i="1"/>
  <c r="F50" i="1"/>
  <c r="F57" i="1"/>
  <c r="F58" i="1"/>
  <c r="F65" i="1"/>
  <c r="F66" i="1"/>
  <c r="F73" i="1"/>
  <c r="F74" i="1"/>
  <c r="F81" i="1"/>
  <c r="F82" i="1"/>
  <c r="F89" i="1"/>
  <c r="F90" i="1"/>
  <c r="F97" i="1"/>
  <c r="F98" i="1"/>
  <c r="F105" i="1"/>
  <c r="F106" i="1"/>
  <c r="F113" i="1"/>
  <c r="F114" i="1"/>
  <c r="F121" i="1"/>
  <c r="F122" i="1"/>
  <c r="F129" i="1"/>
  <c r="F130" i="1"/>
  <c r="F137" i="1"/>
  <c r="F138" i="1"/>
  <c r="F145" i="1"/>
  <c r="F146" i="1"/>
  <c r="F154" i="1"/>
  <c r="F161" i="1"/>
  <c r="F162" i="1"/>
  <c r="F169" i="1"/>
  <c r="F170" i="1"/>
  <c r="F178" i="1"/>
  <c r="E3" i="1"/>
  <c r="F3" i="1" s="1"/>
  <c r="E4" i="1"/>
  <c r="F4" i="1" s="1"/>
  <c r="E5" i="1"/>
  <c r="F5" i="1" s="1"/>
  <c r="E6" i="1"/>
  <c r="F6" i="1" s="1"/>
  <c r="E7" i="1"/>
  <c r="F7" i="1" s="1"/>
  <c r="E8" i="1"/>
  <c r="E9" i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E17" i="1"/>
  <c r="E18" i="1"/>
  <c r="E19" i="1"/>
  <c r="F19" i="1" s="1"/>
  <c r="E20" i="1"/>
  <c r="F20" i="1" s="1"/>
  <c r="E21" i="1"/>
  <c r="F21" i="1" s="1"/>
  <c r="E22" i="1"/>
  <c r="F22" i="1" s="1"/>
  <c r="E23" i="1"/>
  <c r="F23" i="1" s="1"/>
  <c r="E24" i="1"/>
  <c r="E25" i="1"/>
  <c r="E26" i="1"/>
  <c r="E27" i="1"/>
  <c r="F27" i="1" s="1"/>
  <c r="E28" i="1"/>
  <c r="F28" i="1" s="1"/>
  <c r="E29" i="1"/>
  <c r="F29" i="1" s="1"/>
  <c r="E30" i="1"/>
  <c r="F30" i="1" s="1"/>
  <c r="E31" i="1"/>
  <c r="F31" i="1" s="1"/>
  <c r="E32" i="1"/>
  <c r="E33" i="1"/>
  <c r="E34" i="1"/>
  <c r="E35" i="1"/>
  <c r="F35" i="1" s="1"/>
  <c r="E36" i="1"/>
  <c r="F36" i="1" s="1"/>
  <c r="E37" i="1"/>
  <c r="F37" i="1" s="1"/>
  <c r="E38" i="1"/>
  <c r="F38" i="1" s="1"/>
  <c r="E39" i="1"/>
  <c r="F39" i="1" s="1"/>
  <c r="E40" i="1"/>
  <c r="E41" i="1"/>
  <c r="E42" i="1"/>
  <c r="E43" i="1"/>
  <c r="F43" i="1" s="1"/>
  <c r="E44" i="1"/>
  <c r="F44" i="1" s="1"/>
  <c r="E45" i="1"/>
  <c r="F45" i="1" s="1"/>
  <c r="E46" i="1"/>
  <c r="F46" i="1" s="1"/>
  <c r="E47" i="1"/>
  <c r="F47" i="1" s="1"/>
  <c r="E48" i="1"/>
  <c r="E49" i="1"/>
  <c r="E50" i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E58" i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E66" i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E74" i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E82" i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E90" i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E98" i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E106" i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E114" i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E122" i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E130" i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E138" i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E146" i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E162" i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E170" i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E179" i="1"/>
  <c r="F179" i="1" s="1"/>
  <c r="E180" i="1"/>
  <c r="F180" i="1" s="1"/>
  <c r="E181" i="1"/>
  <c r="F181" i="1" s="1"/>
  <c r="E2" i="1"/>
  <c r="F2" i="1" s="1"/>
</calcChain>
</file>

<file path=xl/sharedStrings.xml><?xml version="1.0" encoding="utf-8"?>
<sst xmlns="http://schemas.openxmlformats.org/spreadsheetml/2006/main" count="191" uniqueCount="47">
  <si>
    <t>P101_2_10_1.fcvrp</t>
  </si>
  <si>
    <t>P101_2_10_2.fcvrp</t>
  </si>
  <si>
    <t>P101_2_30_2.fcvrp</t>
  </si>
  <si>
    <t>P101_3_10_3.fcvrp</t>
  </si>
  <si>
    <t>P101_3_10_4.fcvrp</t>
  </si>
  <si>
    <t>P101_3_30_1.fcvrp</t>
  </si>
  <si>
    <t>P101_3_30_4.fcvrp</t>
  </si>
  <si>
    <t>P101_3_51_1.fcvrp</t>
  </si>
  <si>
    <t>P101_3_51_2.fcvrp</t>
  </si>
  <si>
    <t>P101_3_51_4.fcvrp</t>
  </si>
  <si>
    <t>P101_4_30_3.fcvrp</t>
  </si>
  <si>
    <t>P101_4_51_3.fcvrp</t>
  </si>
  <si>
    <t>P60_10_30_3.fcvrp</t>
  </si>
  <si>
    <t>P60_10_6_3.fcvrp</t>
  </si>
  <si>
    <t>P60_10_6_4.fcvrp</t>
  </si>
  <si>
    <t>P60_11_30_1.fcvrp</t>
  </si>
  <si>
    <t>P60_12_30_4.fcvrp</t>
  </si>
  <si>
    <t>P60_13_18_3.fcvrp</t>
  </si>
  <si>
    <t>P60_14_6_3.fcvrp</t>
  </si>
  <si>
    <t>P60_15_30_3.fcvrp</t>
  </si>
  <si>
    <t>P60_4_6_2.fcvrp</t>
  </si>
  <si>
    <t>P60_5_18_2.fcvrp</t>
  </si>
  <si>
    <t>P60_5_6_1.fcvrp</t>
  </si>
  <si>
    <t>P60_5_6_2.fcvrp</t>
  </si>
  <si>
    <t>P60_6_18_1.fcvrp</t>
  </si>
  <si>
    <t>P60_6_18_4.fcvrp</t>
  </si>
  <si>
    <t>P60_6_30_2.fcvrp</t>
  </si>
  <si>
    <t>P60_7_18_2.fcvrp</t>
  </si>
  <si>
    <t>P60_7_6_4.fcvrp</t>
  </si>
  <si>
    <t>P60_8_18_1.fcvrp</t>
  </si>
  <si>
    <t>P60_8_30_1.fcvrp</t>
  </si>
  <si>
    <t>P60_8_30_4.fcvrp</t>
  </si>
  <si>
    <t>P60_8_6_1.fcvrp</t>
  </si>
  <si>
    <t>P60_9_18_3.fcvrp</t>
  </si>
  <si>
    <t>P60_9_18_4.fcvrp</t>
  </si>
  <si>
    <t>P60_9_30_2.fcvrp</t>
  </si>
  <si>
    <t>Iter</t>
  </si>
  <si>
    <t>Inst</t>
  </si>
  <si>
    <t>avgCost</t>
  </si>
  <si>
    <t>avgTime</t>
  </si>
  <si>
    <t>Rótulos de Linha</t>
  </si>
  <si>
    <t>(vazio)</t>
  </si>
  <si>
    <t>Total Geral</t>
  </si>
  <si>
    <t>Média de avgTime</t>
  </si>
  <si>
    <t>BKS</t>
  </si>
  <si>
    <t>gap</t>
  </si>
  <si>
    <t>Média de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</si>
</sst>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uno.mattos\Downloads\Bernardino.ods" TargetMode="External"/><Relationship Id="rId1" Type="http://schemas.openxmlformats.org/officeDocument/2006/relationships/externalLinkPath" Target="file:///C:\Users\bruno.mattos\Downloads\Bernardino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rnardino_Exact"/>
      <sheetName val="Bernardino_Heuristic"/>
      <sheetName val="script_exact"/>
      <sheetName val="ubS"/>
      <sheetName val="VRPSolver"/>
    </sheetNames>
    <sheetDataSet>
      <sheetData sheetId="0"/>
      <sheetData sheetId="1">
        <row r="1">
          <cell r="I1" t="str">
            <v>Best</v>
          </cell>
        </row>
        <row r="2">
          <cell r="I2" t="str">
            <v>Cost</v>
          </cell>
        </row>
        <row r="3">
          <cell r="H3" t="str">
            <v>P16_6_5_1.fcvrp</v>
          </cell>
          <cell r="I3">
            <v>361</v>
          </cell>
        </row>
        <row r="4">
          <cell r="H4" t="str">
            <v>P16_6_5_2.fcvrp</v>
          </cell>
          <cell r="I4">
            <v>283</v>
          </cell>
        </row>
        <row r="5">
          <cell r="H5" t="str">
            <v>P16_8_5_3.fcvrp</v>
          </cell>
          <cell r="I5">
            <v>468</v>
          </cell>
        </row>
        <row r="6">
          <cell r="H6" t="str">
            <v>P16_7_5_4.fcvrp</v>
          </cell>
          <cell r="I6">
            <v>376</v>
          </cell>
        </row>
        <row r="7">
          <cell r="H7" t="str">
            <v>P19_2_6_1.fcvrp</v>
          </cell>
          <cell r="I7">
            <v>186</v>
          </cell>
        </row>
        <row r="8">
          <cell r="H8" t="str">
            <v>P19_2_6_2.fcvrp</v>
          </cell>
          <cell r="I8">
            <v>175</v>
          </cell>
        </row>
        <row r="9">
          <cell r="H9" t="str">
            <v>P19_2_6_3.fcvrp</v>
          </cell>
          <cell r="I9">
            <v>222</v>
          </cell>
        </row>
        <row r="10">
          <cell r="H10" t="str">
            <v>P19_2_6_4.fcvrp</v>
          </cell>
          <cell r="I10">
            <v>179</v>
          </cell>
        </row>
        <row r="11">
          <cell r="H11" t="str">
            <v>P20_2_6_1.fcvrp</v>
          </cell>
          <cell r="I11">
            <v>193</v>
          </cell>
        </row>
        <row r="12">
          <cell r="H12" t="str">
            <v>P20_2_6_2.fcvrp</v>
          </cell>
          <cell r="I12">
            <v>165</v>
          </cell>
        </row>
        <row r="13">
          <cell r="H13" t="str">
            <v>P20_3_6_3.fcvrp</v>
          </cell>
          <cell r="I13">
            <v>237</v>
          </cell>
        </row>
        <row r="14">
          <cell r="H14" t="str">
            <v>P20_2_6_4.fcvrp</v>
          </cell>
          <cell r="I14">
            <v>186</v>
          </cell>
        </row>
        <row r="15">
          <cell r="H15" t="str">
            <v>P21_2_6_1.fcvrp</v>
          </cell>
          <cell r="I15">
            <v>194</v>
          </cell>
        </row>
        <row r="16">
          <cell r="H16" t="str">
            <v>P21_2_6_2.fcvrp</v>
          </cell>
          <cell r="I16">
            <v>161</v>
          </cell>
        </row>
        <row r="17">
          <cell r="H17" t="str">
            <v>P21_2_6_3.fcvrp</v>
          </cell>
          <cell r="I17">
            <v>211</v>
          </cell>
        </row>
        <row r="18">
          <cell r="H18" t="str">
            <v>P21_2_6_4.fcvrp</v>
          </cell>
          <cell r="I18">
            <v>180</v>
          </cell>
        </row>
        <row r="19">
          <cell r="H19" t="str">
            <v>P22_2_7_1.fcvrp</v>
          </cell>
          <cell r="I19">
            <v>195</v>
          </cell>
        </row>
        <row r="20">
          <cell r="H20" t="str">
            <v>P22_1_7_2.fcvrp</v>
          </cell>
          <cell r="I20">
            <v>118</v>
          </cell>
        </row>
        <row r="21">
          <cell r="H21" t="str">
            <v>P22_2_7_3.fcvrp</v>
          </cell>
          <cell r="I21">
            <v>209</v>
          </cell>
        </row>
        <row r="22">
          <cell r="H22" t="str">
            <v>P22_2_7_4.fcvrp</v>
          </cell>
          <cell r="I22">
            <v>194</v>
          </cell>
        </row>
        <row r="23">
          <cell r="H23" t="str">
            <v>P22_6_7_1.fcvrp</v>
          </cell>
          <cell r="I23">
            <v>444</v>
          </cell>
        </row>
        <row r="24">
          <cell r="H24" t="str">
            <v>P22_4_7_2.fcvrp</v>
          </cell>
          <cell r="I24">
            <v>253</v>
          </cell>
        </row>
        <row r="25">
          <cell r="H25" t="str">
            <v>P22_7_7_3.fcvrp</v>
          </cell>
          <cell r="I25">
            <v>543</v>
          </cell>
        </row>
        <row r="26">
          <cell r="H26" t="str">
            <v>P22_6_7_4.fcvrp</v>
          </cell>
          <cell r="I26">
            <v>453</v>
          </cell>
        </row>
        <row r="27">
          <cell r="H27" t="str">
            <v>P23_7_7_1.fcvrp</v>
          </cell>
          <cell r="I27">
            <v>433</v>
          </cell>
        </row>
        <row r="28">
          <cell r="H28" t="str">
            <v>P23_5_7_2.fcvrp</v>
          </cell>
          <cell r="I28">
            <v>272</v>
          </cell>
        </row>
        <row r="29">
          <cell r="H29" t="str">
            <v>P23_8_7_3.fcvrp</v>
          </cell>
          <cell r="I29">
            <v>481</v>
          </cell>
        </row>
        <row r="30">
          <cell r="H30" t="str">
            <v>P23_7_7_4.fcvrp</v>
          </cell>
          <cell r="I30">
            <v>401</v>
          </cell>
        </row>
        <row r="31">
          <cell r="H31" t="str">
            <v>P40_3_12_1.fcvrp</v>
          </cell>
          <cell r="I31">
            <v>297</v>
          </cell>
        </row>
        <row r="32">
          <cell r="H32" t="str">
            <v>P40_3_12_2.fcvrp</v>
          </cell>
          <cell r="I32">
            <v>262</v>
          </cell>
        </row>
        <row r="33">
          <cell r="H33" t="str">
            <v>P40_5_12_3.fcvrp</v>
          </cell>
          <cell r="I33">
            <v>442</v>
          </cell>
        </row>
        <row r="34">
          <cell r="H34" t="str">
            <v>P40_4_12_4.fcvrp</v>
          </cell>
          <cell r="I34">
            <v>378</v>
          </cell>
        </row>
        <row r="35">
          <cell r="H35" t="str">
            <v>P45_4_14_1.fcvrp</v>
          </cell>
          <cell r="I35">
            <v>405</v>
          </cell>
        </row>
        <row r="36">
          <cell r="H36" t="str">
            <v>P45_3_14_2.fcvrp</v>
          </cell>
          <cell r="I36">
            <v>293</v>
          </cell>
        </row>
        <row r="37">
          <cell r="H37" t="str">
            <v>P45_5_14_3.fcvrp</v>
          </cell>
          <cell r="I37">
            <v>495</v>
          </cell>
        </row>
        <row r="38">
          <cell r="H38" t="str">
            <v>P45_4_14_4.fcvrp</v>
          </cell>
          <cell r="I38">
            <v>409</v>
          </cell>
        </row>
        <row r="39">
          <cell r="H39" t="str">
            <v>P50_5_15_1.fcvrp</v>
          </cell>
          <cell r="I39">
            <v>376</v>
          </cell>
        </row>
        <row r="40">
          <cell r="H40" t="str">
            <v>P50_3_15_2.fcvrp</v>
          </cell>
          <cell r="I40">
            <v>254</v>
          </cell>
        </row>
        <row r="41">
          <cell r="H41" t="str">
            <v>P50_7_15_3.fcvrp</v>
          </cell>
          <cell r="I41">
            <v>534</v>
          </cell>
        </row>
        <row r="42">
          <cell r="H42" t="str">
            <v>P50_5_15_4.fcvrp</v>
          </cell>
          <cell r="I42">
            <v>369</v>
          </cell>
        </row>
        <row r="43">
          <cell r="H43" t="str">
            <v>P50_6_15_1.fcvrp</v>
          </cell>
          <cell r="I43">
            <v>416</v>
          </cell>
        </row>
        <row r="44">
          <cell r="H44" t="str">
            <v>P50_4_15_2.fcvrp</v>
          </cell>
          <cell r="I44">
            <v>276</v>
          </cell>
        </row>
        <row r="45">
          <cell r="H45" t="str">
            <v>P50_8_15_3.fcvrp</v>
          </cell>
          <cell r="I45">
            <v>589</v>
          </cell>
        </row>
        <row r="46">
          <cell r="H46" t="str">
            <v>P50_6_15_4.fcvrp</v>
          </cell>
          <cell r="I46">
            <v>408</v>
          </cell>
        </row>
        <row r="47">
          <cell r="H47" t="str">
            <v>P50_7_15_1.fcvrp</v>
          </cell>
          <cell r="I47">
            <v>468</v>
          </cell>
        </row>
        <row r="48">
          <cell r="H48" t="str">
            <v>P50_5_15_2.fcvrp</v>
          </cell>
          <cell r="I48">
            <v>308</v>
          </cell>
        </row>
        <row r="49">
          <cell r="H49" t="str">
            <v>P50_10_15_3.fcvrp</v>
          </cell>
          <cell r="I49">
            <v>664</v>
          </cell>
        </row>
        <row r="50">
          <cell r="H50" t="str">
            <v>P50_7_15_4.fcvrp</v>
          </cell>
          <cell r="I50">
            <v>450</v>
          </cell>
        </row>
        <row r="51">
          <cell r="H51" t="str">
            <v>P51_6_15_1.fcvrp</v>
          </cell>
          <cell r="I51">
            <v>407</v>
          </cell>
        </row>
        <row r="52">
          <cell r="H52" t="str">
            <v>P51_5_15_2.fcvrp</v>
          </cell>
          <cell r="I52">
            <v>307</v>
          </cell>
        </row>
        <row r="53">
          <cell r="H53" t="str">
            <v>P51_10_15_3.fcvrp</v>
          </cell>
          <cell r="I53">
            <v>703</v>
          </cell>
        </row>
        <row r="54">
          <cell r="H54" t="str">
            <v>P51_7_15_4.fcvrp</v>
          </cell>
          <cell r="I54">
            <v>474</v>
          </cell>
        </row>
        <row r="55">
          <cell r="H55" t="str">
            <v>P55_4_17_1_1.fcvrp</v>
          </cell>
          <cell r="I55">
            <v>308</v>
          </cell>
        </row>
        <row r="56">
          <cell r="H56" t="str">
            <v>P55_3_17_2_1.fcvrp</v>
          </cell>
          <cell r="I56">
            <v>254</v>
          </cell>
        </row>
        <row r="57">
          <cell r="H57" t="str">
            <v>P55_6_17_3_1.fcvrp</v>
          </cell>
          <cell r="I57">
            <v>473</v>
          </cell>
        </row>
        <row r="58">
          <cell r="H58" t="str">
            <v>P55_4_17_4_1.fcvrp</v>
          </cell>
          <cell r="I58">
            <v>317</v>
          </cell>
        </row>
        <row r="59">
          <cell r="H59" t="str">
            <v>P55_4_17_1_2.fcvrp</v>
          </cell>
          <cell r="I59">
            <v>312</v>
          </cell>
        </row>
        <row r="60">
          <cell r="H60" t="str">
            <v>P55_3_17_2_2.fcvrp</v>
          </cell>
          <cell r="I60">
            <v>254</v>
          </cell>
        </row>
        <row r="61">
          <cell r="H61" t="str">
            <v>P55_6_17_3_2.fcvrp</v>
          </cell>
          <cell r="I61">
            <v>478</v>
          </cell>
        </row>
        <row r="62">
          <cell r="H62" t="str">
            <v>P55_4_17_4_2.fcvrp</v>
          </cell>
          <cell r="I62">
            <v>317</v>
          </cell>
        </row>
        <row r="63">
          <cell r="H63" t="str">
            <v>P55_6_17_1.fcvrp</v>
          </cell>
          <cell r="I63">
            <v>374</v>
          </cell>
        </row>
        <row r="64">
          <cell r="H64" t="str">
            <v>P55_5_17_2.fcvrp</v>
          </cell>
          <cell r="I64">
            <v>297</v>
          </cell>
        </row>
        <row r="65">
          <cell r="H65" t="str">
            <v>P55_8_17_3.fcvrp</v>
          </cell>
          <cell r="I65">
            <v>574</v>
          </cell>
        </row>
        <row r="66">
          <cell r="H66" t="str">
            <v>P55_5_17_4.fcvrp</v>
          </cell>
          <cell r="I66">
            <v>353</v>
          </cell>
        </row>
        <row r="67">
          <cell r="H67" t="str">
            <v>P55_9_17_1.fcvrp</v>
          </cell>
          <cell r="I67">
            <v>523</v>
          </cell>
        </row>
        <row r="68">
          <cell r="H68" t="str">
            <v>P55_7_17_2.fcvrp</v>
          </cell>
          <cell r="I68">
            <v>376</v>
          </cell>
        </row>
        <row r="69">
          <cell r="H69" t="str">
            <v>P55_13_17_3.fcvrp</v>
          </cell>
          <cell r="I69">
            <v>800</v>
          </cell>
        </row>
        <row r="70">
          <cell r="H70" t="str">
            <v>P55_8_17_4.fcvrp</v>
          </cell>
          <cell r="I70">
            <v>467</v>
          </cell>
        </row>
        <row r="71">
          <cell r="H71" t="str">
            <v>P60_6_18_1.fcvrp</v>
          </cell>
          <cell r="I71">
            <v>391</v>
          </cell>
        </row>
        <row r="72">
          <cell r="H72" t="str">
            <v>P60_5_18_2.fcvrp</v>
          </cell>
          <cell r="I72">
            <v>308</v>
          </cell>
        </row>
        <row r="73">
          <cell r="H73" t="str">
            <v>P60_9_18_3.fcvrp</v>
          </cell>
          <cell r="I73">
            <v>665</v>
          </cell>
        </row>
        <row r="74">
          <cell r="H74" t="str">
            <v>P60_6_18_4.fcvrp</v>
          </cell>
          <cell r="I74">
            <v>476</v>
          </cell>
        </row>
        <row r="75">
          <cell r="H75" t="str">
            <v>P60_8_18_1.fcvrp</v>
          </cell>
          <cell r="I75">
            <v>489</v>
          </cell>
        </row>
        <row r="76">
          <cell r="H76" t="str">
            <v>P60_7_18_2.fcvrp</v>
          </cell>
          <cell r="I76">
            <v>377</v>
          </cell>
        </row>
        <row r="77">
          <cell r="H77" t="str">
            <v>P60_13_18_3.fcvrp</v>
          </cell>
          <cell r="I77">
            <v>853</v>
          </cell>
        </row>
        <row r="78">
          <cell r="H78" t="str">
            <v>P60_9_18_4.fcvrp</v>
          </cell>
          <cell r="I78">
            <v>613</v>
          </cell>
        </row>
        <row r="79">
          <cell r="H79" t="str">
            <v>P65_7_20_1.fcvrp</v>
          </cell>
          <cell r="I79">
            <v>520</v>
          </cell>
        </row>
        <row r="80">
          <cell r="H80" t="str">
            <v>P65_5_20_2.fcvrp</v>
          </cell>
          <cell r="I80">
            <v>324</v>
          </cell>
        </row>
        <row r="81">
          <cell r="H81" t="str">
            <v>P65_9_20_3.fcvrp</v>
          </cell>
          <cell r="I81">
            <v>789</v>
          </cell>
        </row>
        <row r="82">
          <cell r="H82" t="str">
            <v>P65_7_20_4.fcvrp</v>
          </cell>
          <cell r="I82">
            <v>523</v>
          </cell>
        </row>
        <row r="83">
          <cell r="H83" t="str">
            <v>P70_7_21_1.fcvrp</v>
          </cell>
          <cell r="I83">
            <v>497</v>
          </cell>
        </row>
        <row r="84">
          <cell r="H84" t="str">
            <v>P70_6_21_2.fcvrp</v>
          </cell>
          <cell r="I84">
            <v>407</v>
          </cell>
        </row>
        <row r="85">
          <cell r="H85" t="str">
            <v>P70_10_21_3.fcvrp</v>
          </cell>
          <cell r="I85">
            <v>783</v>
          </cell>
        </row>
        <row r="86">
          <cell r="H86" t="str">
            <v>P70_7_21_4.fcvrp</v>
          </cell>
          <cell r="I86">
            <v>572</v>
          </cell>
        </row>
        <row r="87">
          <cell r="H87" t="str">
            <v>P76_3_23_1_1.fcvrp</v>
          </cell>
          <cell r="I87">
            <v>372</v>
          </cell>
        </row>
        <row r="88">
          <cell r="H88" t="str">
            <v>P76_2_23_2_1.fcvrp</v>
          </cell>
          <cell r="I88">
            <v>278</v>
          </cell>
        </row>
        <row r="89">
          <cell r="H89" t="str">
            <v>P76_4_23_3_1.fcvrp</v>
          </cell>
          <cell r="I89">
            <v>563</v>
          </cell>
        </row>
        <row r="90">
          <cell r="H90" t="str">
            <v>P76_3_23_4_1.fcvrp</v>
          </cell>
          <cell r="I90">
            <v>449</v>
          </cell>
        </row>
        <row r="91">
          <cell r="H91" t="str">
            <v>P76_3_23_1_2.fcvrp</v>
          </cell>
          <cell r="I91">
            <v>375</v>
          </cell>
        </row>
        <row r="92">
          <cell r="H92" t="str">
            <v>P76_3_23_2_2.fcvrp</v>
          </cell>
          <cell r="I92">
            <v>290</v>
          </cell>
        </row>
        <row r="93">
          <cell r="H93" t="str">
            <v>P76_5_23_3_2.fcvrp</v>
          </cell>
          <cell r="I93">
            <v>587</v>
          </cell>
        </row>
        <row r="94">
          <cell r="H94" t="str">
            <v>P76_4_23_4_2.fcvrp</v>
          </cell>
          <cell r="I94">
            <v>477</v>
          </cell>
        </row>
        <row r="95">
          <cell r="H95" t="str">
            <v>P101_3_30_1.fcvrp</v>
          </cell>
          <cell r="I95">
            <v>453</v>
          </cell>
        </row>
        <row r="96">
          <cell r="H96" t="str">
            <v>P101_2_30_2.fcvrp</v>
          </cell>
          <cell r="I96">
            <v>350</v>
          </cell>
        </row>
        <row r="97">
          <cell r="H97" t="str">
            <v>P101_4_30_3.fcvrp</v>
          </cell>
          <cell r="I97">
            <v>640</v>
          </cell>
        </row>
        <row r="98">
          <cell r="H98" t="str">
            <v>P101_3_30_4.fcvrp</v>
          </cell>
          <cell r="I98">
            <v>446</v>
          </cell>
        </row>
        <row r="99">
          <cell r="H99" t="str">
            <v>P16_6_2_1.fcvrp</v>
          </cell>
          <cell r="I99">
            <v>359</v>
          </cell>
        </row>
        <row r="100">
          <cell r="H100" t="str">
            <v>P16_2_2_2.fcvrp</v>
          </cell>
          <cell r="I100">
            <v>116</v>
          </cell>
        </row>
        <row r="101">
          <cell r="H101" t="str">
            <v>P16_8_2_3.fcvrp</v>
          </cell>
          <cell r="I101">
            <v>441</v>
          </cell>
        </row>
        <row r="102">
          <cell r="H102" t="str">
            <v>P16_8_2_4.fcvrp</v>
          </cell>
          <cell r="I102">
            <v>441</v>
          </cell>
        </row>
        <row r="103">
          <cell r="H103" t="str">
            <v>P19_2_2_1.fcvrp</v>
          </cell>
          <cell r="I103">
            <v>192</v>
          </cell>
        </row>
        <row r="104">
          <cell r="H104" t="str">
            <v>P19_2_2_2.fcvrp</v>
          </cell>
          <cell r="I104">
            <v>160</v>
          </cell>
        </row>
        <row r="105">
          <cell r="H105" t="str">
            <v>P19_2_2_3.fcvrp</v>
          </cell>
          <cell r="I105">
            <v>194</v>
          </cell>
        </row>
        <row r="106">
          <cell r="H106" t="str">
            <v>P19_2_2_4.fcvrp</v>
          </cell>
          <cell r="I106">
            <v>194</v>
          </cell>
        </row>
        <row r="107">
          <cell r="H107" t="str">
            <v>P20_2_2_1.fcvrp</v>
          </cell>
          <cell r="I107">
            <v>183</v>
          </cell>
        </row>
        <row r="108">
          <cell r="H108" t="str">
            <v>P20_2_2_2.fcvrp</v>
          </cell>
          <cell r="I108">
            <v>152</v>
          </cell>
        </row>
        <row r="109">
          <cell r="H109" t="str">
            <v>P20_2_2_3.fcvrp</v>
          </cell>
          <cell r="I109">
            <v>196</v>
          </cell>
        </row>
        <row r="110">
          <cell r="H110" t="str">
            <v>P20_2_2_4.fcvrp</v>
          </cell>
          <cell r="I110">
            <v>196</v>
          </cell>
        </row>
        <row r="111">
          <cell r="H111" t="str">
            <v>P21_2_2_1.fcvrp</v>
          </cell>
          <cell r="I111">
            <v>189</v>
          </cell>
        </row>
        <row r="112">
          <cell r="H112" t="str">
            <v>P21_1_2_2.fcvrp</v>
          </cell>
          <cell r="I112">
            <v>91</v>
          </cell>
        </row>
        <row r="113">
          <cell r="H113" t="str">
            <v>P21_2_2_3.fcvrp</v>
          </cell>
          <cell r="I113">
            <v>202</v>
          </cell>
        </row>
        <row r="114">
          <cell r="H114" t="str">
            <v>P21_2_2_4.fcvrp</v>
          </cell>
          <cell r="I114">
            <v>202</v>
          </cell>
        </row>
        <row r="115">
          <cell r="H115" t="str">
            <v>P22_2_2_1.fcvrp</v>
          </cell>
          <cell r="I115">
            <v>132</v>
          </cell>
        </row>
        <row r="116">
          <cell r="H116" t="str">
            <v>P22_1_2_2.fcvrp</v>
          </cell>
          <cell r="I116">
            <v>85</v>
          </cell>
        </row>
        <row r="117">
          <cell r="H117" t="str">
            <v>P22_2_2_3.fcvrp</v>
          </cell>
          <cell r="I117">
            <v>178</v>
          </cell>
        </row>
        <row r="118">
          <cell r="H118" t="str">
            <v>P22_2_2_4.fcvrp</v>
          </cell>
          <cell r="I118">
            <v>178</v>
          </cell>
        </row>
        <row r="119">
          <cell r="H119" t="str">
            <v>P22_5_2_1.fcvrp</v>
          </cell>
          <cell r="I119">
            <v>274</v>
          </cell>
        </row>
        <row r="120">
          <cell r="H120" t="str">
            <v>P22_3_2_2.fcvrp</v>
          </cell>
          <cell r="I120">
            <v>169</v>
          </cell>
        </row>
        <row r="121">
          <cell r="H121" t="str">
            <v>P22_7_2_3.fcvrp</v>
          </cell>
          <cell r="I121">
            <v>440</v>
          </cell>
        </row>
        <row r="122">
          <cell r="H122" t="str">
            <v>P22_7_2_4.fcvrp</v>
          </cell>
          <cell r="I122">
            <v>440</v>
          </cell>
        </row>
        <row r="123">
          <cell r="H123" t="str">
            <v>P23_4_2_1.fcvrp</v>
          </cell>
          <cell r="I123">
            <v>178</v>
          </cell>
        </row>
        <row r="124">
          <cell r="H124" t="str">
            <v>P23_4_2_2.fcvrp</v>
          </cell>
          <cell r="I124">
            <v>131</v>
          </cell>
        </row>
        <row r="125">
          <cell r="H125" t="str">
            <v>P23_6_2_3.fcvrp</v>
          </cell>
          <cell r="I125">
            <v>314</v>
          </cell>
        </row>
        <row r="126">
          <cell r="H126" t="str">
            <v>P23_6_2_4.fcvrp</v>
          </cell>
          <cell r="I126">
            <v>314</v>
          </cell>
        </row>
        <row r="127">
          <cell r="H127" t="str">
            <v>P40_3_4_1.fcvrp</v>
          </cell>
          <cell r="I127">
            <v>252</v>
          </cell>
        </row>
        <row r="128">
          <cell r="H128" t="str">
            <v>P40_2_4_2.fcvrp</v>
          </cell>
          <cell r="I128">
            <v>137</v>
          </cell>
        </row>
        <row r="129">
          <cell r="H129" t="str">
            <v>P40_4_4_3.fcvrp</v>
          </cell>
          <cell r="I129">
            <v>362</v>
          </cell>
        </row>
        <row r="130">
          <cell r="H130" t="str">
            <v>P40_3_4_4.fcvrp</v>
          </cell>
          <cell r="I130">
            <v>251</v>
          </cell>
        </row>
        <row r="131">
          <cell r="H131" t="str">
            <v>P45_3_5_1.fcvrp</v>
          </cell>
          <cell r="I131">
            <v>296</v>
          </cell>
        </row>
        <row r="132">
          <cell r="H132" t="str">
            <v>P45_2_5_2.fcvrp</v>
          </cell>
          <cell r="I132">
            <v>168</v>
          </cell>
        </row>
        <row r="133">
          <cell r="H133" t="str">
            <v>P45_5_5_3.fcvrp</v>
          </cell>
          <cell r="I133">
            <v>435</v>
          </cell>
        </row>
        <row r="134">
          <cell r="H134" t="str">
            <v>P45_4_5_4.fcvrp</v>
          </cell>
          <cell r="I134">
            <v>314</v>
          </cell>
        </row>
        <row r="135">
          <cell r="H135" t="str">
            <v>P50_4_5_1_1.fcvrp</v>
          </cell>
          <cell r="I135">
            <v>233</v>
          </cell>
        </row>
        <row r="136">
          <cell r="H136" t="str">
            <v>P50_2_5_2_1.fcvrp</v>
          </cell>
          <cell r="I136">
            <v>161</v>
          </cell>
        </row>
        <row r="137">
          <cell r="H137" t="str">
            <v>P50_6_5_3_1.fcvrp</v>
          </cell>
          <cell r="I137">
            <v>378</v>
          </cell>
        </row>
        <row r="138">
          <cell r="H138" t="str">
            <v>P50_4_5_4_1.fcvrp</v>
          </cell>
          <cell r="I138">
            <v>235</v>
          </cell>
        </row>
        <row r="139">
          <cell r="H139" t="str">
            <v>P50_4_5_1_2.fcvrp</v>
          </cell>
          <cell r="I139">
            <v>241</v>
          </cell>
        </row>
        <row r="140">
          <cell r="H140" t="str">
            <v>P50_3_5_2_2.fcvrp</v>
          </cell>
          <cell r="I140">
            <v>157</v>
          </cell>
        </row>
        <row r="141">
          <cell r="H141" t="str">
            <v>P50_7_5_3_2.fcvrp</v>
          </cell>
          <cell r="I141">
            <v>418</v>
          </cell>
        </row>
        <row r="142">
          <cell r="H142" t="str">
            <v>P50_4_5_4_2.fcvrp</v>
          </cell>
          <cell r="I142">
            <v>244</v>
          </cell>
        </row>
        <row r="143">
          <cell r="H143" t="str">
            <v>P50_5_5_1.fcvrp</v>
          </cell>
          <cell r="I143">
            <v>272</v>
          </cell>
        </row>
        <row r="144">
          <cell r="H144" t="str">
            <v>P50_3_5_2.fcvrp</v>
          </cell>
          <cell r="I144">
            <v>162</v>
          </cell>
        </row>
        <row r="145">
          <cell r="H145" t="str">
            <v>P50_8_5_3.fcvrp</v>
          </cell>
          <cell r="I145">
            <v>462</v>
          </cell>
        </row>
        <row r="146">
          <cell r="H146" t="str">
            <v>P50_5_5_4.fcvrp</v>
          </cell>
          <cell r="I146">
            <v>271</v>
          </cell>
        </row>
        <row r="147">
          <cell r="H147" t="str">
            <v>P51_8_5_1.fcvrp</v>
          </cell>
          <cell r="I147">
            <v>577</v>
          </cell>
        </row>
        <row r="148">
          <cell r="H148" t="str">
            <v>P51_6_5_2.fcvrp</v>
          </cell>
          <cell r="I148">
            <v>354</v>
          </cell>
        </row>
        <row r="149">
          <cell r="H149" t="str">
            <v>P51_10_5_3.fcvrp</v>
          </cell>
          <cell r="I149">
            <v>688</v>
          </cell>
        </row>
        <row r="150">
          <cell r="H150" t="str">
            <v>P51_7_5_4.fcvrp</v>
          </cell>
          <cell r="I150">
            <v>517</v>
          </cell>
        </row>
        <row r="151">
          <cell r="H151" t="str">
            <v>P55_4_6_1_1.fcvrp</v>
          </cell>
          <cell r="I151">
            <v>244</v>
          </cell>
        </row>
        <row r="152">
          <cell r="H152" t="str">
            <v>P55_3_6_2_1.fcvrp</v>
          </cell>
          <cell r="I152">
            <v>206</v>
          </cell>
        </row>
        <row r="153">
          <cell r="H153" t="str">
            <v>P55_5_6_3_1.fcvrp</v>
          </cell>
          <cell r="I153">
            <v>456</v>
          </cell>
        </row>
        <row r="154">
          <cell r="H154" t="str">
            <v>P55_4_6_4_1.fcvrp</v>
          </cell>
          <cell r="I154">
            <v>356</v>
          </cell>
        </row>
        <row r="155">
          <cell r="H155" t="str">
            <v>P55_4_6_1_2.fcvrp</v>
          </cell>
          <cell r="I155">
            <v>247</v>
          </cell>
        </row>
        <row r="156">
          <cell r="H156" t="str">
            <v>P55_3_6_2_2.fcvrp</v>
          </cell>
          <cell r="I156">
            <v>206</v>
          </cell>
        </row>
        <row r="157">
          <cell r="H157" t="str">
            <v>P55_6_6_3_2.fcvrp</v>
          </cell>
          <cell r="I157">
            <v>438</v>
          </cell>
        </row>
        <row r="158">
          <cell r="H158" t="str">
            <v>P55_5_6_4_2.fcvrp</v>
          </cell>
          <cell r="I158">
            <v>364</v>
          </cell>
        </row>
        <row r="159">
          <cell r="H159" t="str">
            <v>P55_5_6_1.fcvrp</v>
          </cell>
          <cell r="I159">
            <v>287</v>
          </cell>
        </row>
        <row r="160">
          <cell r="H160" t="str">
            <v>P55_4_6_2.fcvrp</v>
          </cell>
          <cell r="I160">
            <v>245</v>
          </cell>
        </row>
        <row r="161">
          <cell r="H161" t="str">
            <v>P55_8_6_3.fcvrp</v>
          </cell>
          <cell r="I161">
            <v>522</v>
          </cell>
        </row>
        <row r="162">
          <cell r="H162" t="str">
            <v>P55_6_6_4.fcvrp</v>
          </cell>
          <cell r="I162">
            <v>429</v>
          </cell>
        </row>
        <row r="163">
          <cell r="H163" t="str">
            <v>P55_9_6_1.fcvrp</v>
          </cell>
          <cell r="I163">
            <v>399</v>
          </cell>
        </row>
        <row r="164">
          <cell r="H164" t="str">
            <v>P55_7_6_2.fcvrp</v>
          </cell>
          <cell r="I164">
            <v>337</v>
          </cell>
        </row>
        <row r="165">
          <cell r="H165" t="str">
            <v>P55_14_6_3.fcvrp</v>
          </cell>
          <cell r="I165">
            <v>757</v>
          </cell>
        </row>
        <row r="166">
          <cell r="H166" t="str">
            <v>P55_11_6_4.fcvrp</v>
          </cell>
          <cell r="I166">
            <v>596</v>
          </cell>
        </row>
        <row r="167">
          <cell r="H167" t="str">
            <v>P60_5_6_1.fcvrp</v>
          </cell>
          <cell r="I167">
            <v>321</v>
          </cell>
        </row>
        <row r="168">
          <cell r="H168" t="str">
            <v>P60_4_6_2.fcvrp</v>
          </cell>
          <cell r="I168">
            <v>215</v>
          </cell>
        </row>
        <row r="169">
          <cell r="H169" t="str">
            <v>P60_10_6_3.fcvrp</v>
          </cell>
          <cell r="I169">
            <v>693</v>
          </cell>
        </row>
        <row r="170">
          <cell r="H170" t="str">
            <v>P60_7_6_4.fcvrp</v>
          </cell>
          <cell r="I170">
            <v>474</v>
          </cell>
        </row>
        <row r="171">
          <cell r="H171" t="str">
            <v>P60_8_6_1.fcvrp</v>
          </cell>
          <cell r="I171">
            <v>397</v>
          </cell>
        </row>
        <row r="172">
          <cell r="H172" t="str">
            <v>P60_5_6_2.fcvrp</v>
          </cell>
          <cell r="I172">
            <v>257</v>
          </cell>
        </row>
        <row r="173">
          <cell r="H173" t="str">
            <v>P60_14_6_3.fcvrp</v>
          </cell>
          <cell r="I173">
            <v>938</v>
          </cell>
        </row>
        <row r="174">
          <cell r="H174" t="str">
            <v>P60_10_6_4.fcvrp</v>
          </cell>
          <cell r="I174">
            <v>665</v>
          </cell>
        </row>
        <row r="175">
          <cell r="H175" t="str">
            <v>P65_6_7_1.fcvrp</v>
          </cell>
          <cell r="I175">
            <v>494</v>
          </cell>
        </row>
        <row r="176">
          <cell r="H176" t="str">
            <v>P65_4_7_2.fcvrp</v>
          </cell>
          <cell r="I176">
            <v>265</v>
          </cell>
        </row>
        <row r="177">
          <cell r="H177" t="str">
            <v>P65_8_7_3.fcvrp</v>
          </cell>
          <cell r="I177">
            <v>639</v>
          </cell>
        </row>
        <row r="178">
          <cell r="H178" t="str">
            <v>P65_6_7_4.fcvrp</v>
          </cell>
          <cell r="I178">
            <v>591</v>
          </cell>
        </row>
        <row r="179">
          <cell r="H179" t="str">
            <v>P70_7_7_1.fcvrp</v>
          </cell>
          <cell r="I179">
            <v>477</v>
          </cell>
        </row>
        <row r="180">
          <cell r="H180" t="str">
            <v>P70_6_7_2.fcvrp</v>
          </cell>
          <cell r="I180">
            <v>376</v>
          </cell>
        </row>
        <row r="181">
          <cell r="H181" t="str">
            <v>P70_10_7_3.fcvrp</v>
          </cell>
          <cell r="I181">
            <v>744</v>
          </cell>
        </row>
        <row r="182">
          <cell r="H182" t="str">
            <v>P70_9_7_4.fcvrp</v>
          </cell>
          <cell r="I182">
            <v>674</v>
          </cell>
        </row>
        <row r="183">
          <cell r="H183" t="str">
            <v>P76_3_8_1_1.fcvrp</v>
          </cell>
          <cell r="I183">
            <v>357</v>
          </cell>
        </row>
        <row r="184">
          <cell r="H184" t="str">
            <v>P76_2_8_2_1.fcvrp</v>
          </cell>
          <cell r="I184">
            <v>206</v>
          </cell>
        </row>
        <row r="185">
          <cell r="H185" t="str">
            <v>P76_4_8_3_1.fcvrp</v>
          </cell>
          <cell r="I185">
            <v>503</v>
          </cell>
        </row>
        <row r="186">
          <cell r="H186" t="str">
            <v>P76_3_8_4_1.fcvrp</v>
          </cell>
          <cell r="I186">
            <v>421</v>
          </cell>
        </row>
        <row r="187">
          <cell r="H187" t="str">
            <v>P76_3_8_1_2.fcvrp</v>
          </cell>
          <cell r="I187">
            <v>366</v>
          </cell>
        </row>
        <row r="188">
          <cell r="H188" t="str">
            <v>P76_2_8_2_2.fcvrp</v>
          </cell>
          <cell r="I188">
            <v>203</v>
          </cell>
        </row>
        <row r="189">
          <cell r="H189" t="str">
            <v>P76_5_8_3_2.fcvrp</v>
          </cell>
          <cell r="I189">
            <v>533</v>
          </cell>
        </row>
        <row r="190">
          <cell r="H190" t="str">
            <v>P76_4_8_4_2.fcvrp</v>
          </cell>
          <cell r="I190">
            <v>442</v>
          </cell>
        </row>
        <row r="191">
          <cell r="H191" t="str">
            <v>P101_2_10_1.fcvrp</v>
          </cell>
          <cell r="I191">
            <v>339</v>
          </cell>
        </row>
        <row r="192">
          <cell r="H192" t="str">
            <v>P101_2_10_2.fcvrp</v>
          </cell>
          <cell r="I192">
            <v>208</v>
          </cell>
        </row>
        <row r="193">
          <cell r="H193" t="str">
            <v>P101_3_10_3.fcvrp</v>
          </cell>
          <cell r="I193">
            <v>549</v>
          </cell>
        </row>
        <row r="194">
          <cell r="H194" t="str">
            <v>P101_3_10_4.fcvrp</v>
          </cell>
          <cell r="I194">
            <v>499</v>
          </cell>
        </row>
        <row r="195">
          <cell r="H195" t="str">
            <v>P16_6_8_1.fcvrp</v>
          </cell>
          <cell r="I195">
            <v>334</v>
          </cell>
        </row>
        <row r="196">
          <cell r="H196" t="str">
            <v>P16_5_8_2.fcvrp</v>
          </cell>
          <cell r="I196">
            <v>297</v>
          </cell>
        </row>
        <row r="197">
          <cell r="H197" t="str">
            <v>P16_8_8_3.fcvrp</v>
          </cell>
          <cell r="I197">
            <v>470</v>
          </cell>
        </row>
        <row r="198">
          <cell r="H198" t="str">
            <v>P16_6_8_4.fcvrp</v>
          </cell>
          <cell r="I198">
            <v>359</v>
          </cell>
        </row>
        <row r="199">
          <cell r="H199" t="str">
            <v>P19_2_10_1.fcvrp</v>
          </cell>
          <cell r="I199">
            <v>163</v>
          </cell>
        </row>
        <row r="200">
          <cell r="H200" t="str">
            <v>P19_2_10_2.fcvrp</v>
          </cell>
          <cell r="I200">
            <v>153</v>
          </cell>
        </row>
        <row r="201">
          <cell r="H201" t="str">
            <v>P19_2_10_3.fcvrp</v>
          </cell>
          <cell r="I201">
            <v>195</v>
          </cell>
        </row>
        <row r="202">
          <cell r="H202" t="str">
            <v>P19_2_10_4.fcvrp</v>
          </cell>
          <cell r="I202">
            <v>195</v>
          </cell>
        </row>
        <row r="203">
          <cell r="H203" t="str">
            <v>P20_2_10_1.fcvrp</v>
          </cell>
          <cell r="I203">
            <v>189</v>
          </cell>
        </row>
        <row r="204">
          <cell r="H204" t="str">
            <v>P20_2_10_2.fcvrp</v>
          </cell>
          <cell r="I204">
            <v>175</v>
          </cell>
        </row>
        <row r="205">
          <cell r="H205" t="str">
            <v>P20_2_10_3.fcvrp</v>
          </cell>
          <cell r="I205">
            <v>209</v>
          </cell>
        </row>
        <row r="206">
          <cell r="H206" t="str">
            <v>P20_2_10_4.fcvrp</v>
          </cell>
          <cell r="I206">
            <v>208</v>
          </cell>
        </row>
        <row r="207">
          <cell r="H207" t="str">
            <v>P21_2_11_1.fcvrp</v>
          </cell>
          <cell r="I207">
            <v>183</v>
          </cell>
        </row>
        <row r="208">
          <cell r="H208" t="str">
            <v>P21_2_11_2.fcvrp</v>
          </cell>
          <cell r="I208">
            <v>161</v>
          </cell>
        </row>
        <row r="209">
          <cell r="H209" t="str">
            <v>P21_2_11_3.fcvrp</v>
          </cell>
          <cell r="I209">
            <v>203</v>
          </cell>
        </row>
        <row r="210">
          <cell r="H210" t="str">
            <v>P21_2_11_4.fcvrp</v>
          </cell>
          <cell r="I210">
            <v>196</v>
          </cell>
        </row>
        <row r="211">
          <cell r="H211" t="str">
            <v>P22_2_11_1.fcvrp</v>
          </cell>
          <cell r="I211">
            <v>188</v>
          </cell>
        </row>
        <row r="212">
          <cell r="H212" t="str">
            <v>P22_2_11_2.fcvrp</v>
          </cell>
          <cell r="I212">
            <v>169</v>
          </cell>
        </row>
        <row r="213">
          <cell r="H213" t="str">
            <v>P22_2_11_3.fcvrp</v>
          </cell>
          <cell r="I213">
            <v>215</v>
          </cell>
        </row>
        <row r="214">
          <cell r="H214" t="str">
            <v>P22_2_11_4.fcvrp</v>
          </cell>
          <cell r="I214">
            <v>207</v>
          </cell>
        </row>
        <row r="215">
          <cell r="H215" t="str">
            <v>P22_6_11_1.fcvrp</v>
          </cell>
          <cell r="I215">
            <v>479</v>
          </cell>
        </row>
        <row r="216">
          <cell r="H216" t="str">
            <v>P22_5_11_2.fcvrp</v>
          </cell>
          <cell r="I216">
            <v>444</v>
          </cell>
        </row>
        <row r="217">
          <cell r="H217" t="str">
            <v>P22_8_11_3.fcvrp</v>
          </cell>
          <cell r="I217">
            <v>608</v>
          </cell>
        </row>
        <row r="218">
          <cell r="H218" t="str">
            <v>P22_7_11_4.fcvrp</v>
          </cell>
          <cell r="I218">
            <v>564</v>
          </cell>
        </row>
        <row r="219">
          <cell r="H219" t="str">
            <v>P23_6_12_1.fcvrp</v>
          </cell>
          <cell r="I219">
            <v>380</v>
          </cell>
        </row>
        <row r="220">
          <cell r="H220" t="str">
            <v>P23_6_12_2.fcvrp</v>
          </cell>
          <cell r="I220">
            <v>353</v>
          </cell>
        </row>
        <row r="221">
          <cell r="H221" t="str">
            <v>P23_8_12_3.fcvrp</v>
          </cell>
          <cell r="I221">
            <v>483</v>
          </cell>
        </row>
        <row r="222">
          <cell r="H222" t="str">
            <v>P23_7_12_4.fcvrp</v>
          </cell>
          <cell r="I222">
            <v>436</v>
          </cell>
        </row>
        <row r="223">
          <cell r="H223" t="str">
            <v>P40_4_20_1.fcvrp</v>
          </cell>
          <cell r="I223">
            <v>379</v>
          </cell>
        </row>
        <row r="224">
          <cell r="H224" t="str">
            <v>P40_3_20_2.fcvrp</v>
          </cell>
          <cell r="I224">
            <v>334</v>
          </cell>
        </row>
        <row r="225">
          <cell r="H225" t="str">
            <v>P40_5_20_3.fcvrp</v>
          </cell>
          <cell r="I225">
            <v>458</v>
          </cell>
        </row>
        <row r="226">
          <cell r="H226" t="str">
            <v>P40_4_20_4.fcvrp</v>
          </cell>
          <cell r="I226">
            <v>373</v>
          </cell>
        </row>
        <row r="227">
          <cell r="H227" t="str">
            <v>P45_4_23_1.fcvrp</v>
          </cell>
          <cell r="I227">
            <v>410</v>
          </cell>
        </row>
        <row r="228">
          <cell r="H228" t="str">
            <v>P45_3_23_2.fcvrp</v>
          </cell>
          <cell r="I228">
            <v>327</v>
          </cell>
        </row>
        <row r="229">
          <cell r="H229" t="str">
            <v>P45_5_23_3.fcvrp</v>
          </cell>
          <cell r="I229">
            <v>500</v>
          </cell>
        </row>
        <row r="230">
          <cell r="H230" t="str">
            <v>P45_4_23_4.fcvrp</v>
          </cell>
          <cell r="I230">
            <v>359</v>
          </cell>
        </row>
        <row r="231">
          <cell r="H231" t="str">
            <v>P50_5_25_1_1.fcvrp</v>
          </cell>
          <cell r="I231">
            <v>403</v>
          </cell>
        </row>
        <row r="232">
          <cell r="H232" t="str">
            <v>P50_5_25_2_1.fcvrp</v>
          </cell>
          <cell r="I232">
            <v>331</v>
          </cell>
        </row>
        <row r="233">
          <cell r="H233" t="str">
            <v>P50_7_25_3_1.fcvrp</v>
          </cell>
          <cell r="I233">
            <v>562</v>
          </cell>
        </row>
        <row r="234">
          <cell r="H234" t="str">
            <v>P50_6_25_4_1.fcvrp</v>
          </cell>
          <cell r="I234">
            <v>425</v>
          </cell>
        </row>
        <row r="235">
          <cell r="H235" t="str">
            <v>P50_7_25_1_2.fcvrp</v>
          </cell>
          <cell r="I235">
            <v>463</v>
          </cell>
        </row>
        <row r="236">
          <cell r="H236" t="str">
            <v>P50_6_25_2_2.fcvrp</v>
          </cell>
          <cell r="I236">
            <v>366</v>
          </cell>
        </row>
        <row r="237">
          <cell r="H237" t="str">
            <v>P50_9_25_3_2.fcvrp</v>
          </cell>
          <cell r="I237">
            <v>637</v>
          </cell>
        </row>
        <row r="238">
          <cell r="H238" t="str">
            <v>P50_7_25_4_2.fcvrp</v>
          </cell>
          <cell r="I238">
            <v>475</v>
          </cell>
        </row>
        <row r="239">
          <cell r="H239" t="str">
            <v>P50_8_25_1.fcvrp</v>
          </cell>
          <cell r="I239">
            <v>509</v>
          </cell>
        </row>
        <row r="240">
          <cell r="H240" t="str">
            <v>P50_7_25_2.fcvrp</v>
          </cell>
          <cell r="I240">
            <v>406</v>
          </cell>
        </row>
        <row r="241">
          <cell r="H241" t="str">
            <v>P50_10_25_3.fcvrp</v>
          </cell>
          <cell r="I241">
            <v>707</v>
          </cell>
        </row>
        <row r="242">
          <cell r="H242" t="str">
            <v>P50_8_25_4.fcvrp</v>
          </cell>
          <cell r="I242">
            <v>523</v>
          </cell>
        </row>
        <row r="243">
          <cell r="H243" t="str">
            <v>P51_8_26_1.fcvrp</v>
          </cell>
          <cell r="I243">
            <v>557</v>
          </cell>
        </row>
        <row r="244">
          <cell r="H244" t="str">
            <v>P51_7_26_2.fcvrp</v>
          </cell>
          <cell r="I244">
            <v>475</v>
          </cell>
        </row>
        <row r="245">
          <cell r="H245" t="str">
            <v>P51_10_26_3.fcvrp</v>
          </cell>
          <cell r="I245">
            <v>725</v>
          </cell>
        </row>
        <row r="246">
          <cell r="H246" t="str">
            <v>P51_9_26_4.fcvrp</v>
          </cell>
          <cell r="I246">
            <v>601</v>
          </cell>
        </row>
        <row r="247">
          <cell r="H247" t="str">
            <v>P55_5_28_1_1.fcvrp</v>
          </cell>
          <cell r="I247">
            <v>387</v>
          </cell>
        </row>
        <row r="248">
          <cell r="H248" t="str">
            <v>P55_4_28_2_1.fcvrp</v>
          </cell>
          <cell r="I248">
            <v>346</v>
          </cell>
        </row>
        <row r="249">
          <cell r="H249" t="str">
            <v>P55_6_28_3_1.fcvrp</v>
          </cell>
          <cell r="I249">
            <v>542</v>
          </cell>
        </row>
        <row r="250">
          <cell r="H250" t="str">
            <v>P55_5_28_4_1.fcvrp</v>
          </cell>
          <cell r="I250">
            <v>439</v>
          </cell>
        </row>
        <row r="251">
          <cell r="H251" t="str">
            <v>P55_5_28_1_2.fcvrp</v>
          </cell>
          <cell r="I251">
            <v>391</v>
          </cell>
        </row>
        <row r="252">
          <cell r="H252" t="str">
            <v>P55_4_28_2_2.fcvrp</v>
          </cell>
          <cell r="I252">
            <v>354</v>
          </cell>
        </row>
        <row r="253">
          <cell r="H253" t="str">
            <v>P55_7_28_3_2.fcvrp</v>
          </cell>
          <cell r="I253">
            <v>558</v>
          </cell>
        </row>
        <row r="254">
          <cell r="H254" t="str">
            <v>P55_5_28_4_2.fcvrp</v>
          </cell>
          <cell r="I254">
            <v>449</v>
          </cell>
        </row>
        <row r="255">
          <cell r="H255" t="str">
            <v>P55_7_28_1.fcvrp</v>
          </cell>
          <cell r="I255">
            <v>455</v>
          </cell>
        </row>
        <row r="256">
          <cell r="H256" t="str">
            <v>P55_6_28_2.fcvrp</v>
          </cell>
          <cell r="I256">
            <v>409</v>
          </cell>
        </row>
        <row r="257">
          <cell r="H257" t="str">
            <v>P55_9_28_3.fcvrp</v>
          </cell>
          <cell r="I257">
            <v>655</v>
          </cell>
        </row>
        <row r="258">
          <cell r="H258" t="str">
            <v>P55_7_28_4.fcvrp</v>
          </cell>
          <cell r="I258">
            <v>517</v>
          </cell>
        </row>
        <row r="259">
          <cell r="H259" t="str">
            <v>P55_11_28_1.fcvrp</v>
          </cell>
          <cell r="I259">
            <v>612</v>
          </cell>
        </row>
        <row r="260">
          <cell r="H260" t="str">
            <v>P55_9_28_2.fcvrp</v>
          </cell>
          <cell r="I260">
            <v>556</v>
          </cell>
        </row>
        <row r="261">
          <cell r="H261" t="str">
            <v>P55_15_28_3.fcvrp</v>
          </cell>
          <cell r="I261">
            <v>907</v>
          </cell>
        </row>
        <row r="262">
          <cell r="H262" t="str">
            <v>P55_12_28_4.fcvrp</v>
          </cell>
          <cell r="I262">
            <v>700</v>
          </cell>
        </row>
        <row r="263">
          <cell r="H263" t="str">
            <v>P60_8_30_1.fcvrp</v>
          </cell>
          <cell r="I263">
            <v>548</v>
          </cell>
        </row>
        <row r="264">
          <cell r="H264" t="str">
            <v>P60_6_30_2.fcvrp</v>
          </cell>
          <cell r="I264">
            <v>480</v>
          </cell>
        </row>
        <row r="265">
          <cell r="H265" t="str">
            <v>P60_10_30_3.fcvrp</v>
          </cell>
          <cell r="I265">
            <v>757</v>
          </cell>
        </row>
        <row r="266">
          <cell r="H266" t="str">
            <v>P60_8_30_4.fcvrp</v>
          </cell>
          <cell r="I266">
            <v>583</v>
          </cell>
        </row>
        <row r="267">
          <cell r="H267" t="str">
            <v>P60_11_30_1.fcvrp</v>
          </cell>
          <cell r="I267">
            <v>709</v>
          </cell>
        </row>
        <row r="268">
          <cell r="H268" t="str">
            <v>P60_9_30_2.fcvrp</v>
          </cell>
          <cell r="I268">
            <v>627</v>
          </cell>
        </row>
        <row r="269">
          <cell r="H269" t="str">
            <v>P60_15_30_3.fcvrp</v>
          </cell>
          <cell r="I269">
            <v>995</v>
          </cell>
        </row>
        <row r="270">
          <cell r="H270" t="str">
            <v>P60_12_30_4.fcvrp</v>
          </cell>
          <cell r="I270">
            <v>761</v>
          </cell>
        </row>
        <row r="271">
          <cell r="H271" t="str">
            <v>P65_8_33_1.fcvrp</v>
          </cell>
          <cell r="I271">
            <v>593</v>
          </cell>
        </row>
        <row r="272">
          <cell r="H272" t="str">
            <v>P65_7_33_2.fcvrp</v>
          </cell>
          <cell r="I272">
            <v>511</v>
          </cell>
        </row>
        <row r="273">
          <cell r="H273" t="str">
            <v>P65_9_33_3.fcvrp</v>
          </cell>
          <cell r="I273">
            <v>735</v>
          </cell>
        </row>
        <row r="274">
          <cell r="H274" t="str">
            <v>P65_7_33_4.fcvrp</v>
          </cell>
          <cell r="I274">
            <v>583</v>
          </cell>
        </row>
        <row r="275">
          <cell r="H275" t="str">
            <v>P70_8_35_1.fcvrp</v>
          </cell>
          <cell r="I275">
            <v>604</v>
          </cell>
        </row>
        <row r="276">
          <cell r="H276" t="str">
            <v>P70_7_35_2.fcvrp</v>
          </cell>
          <cell r="I276">
            <v>542</v>
          </cell>
        </row>
        <row r="277">
          <cell r="H277" t="str">
            <v>P70_10_35_3.fcvrp</v>
          </cell>
          <cell r="I277">
            <v>855</v>
          </cell>
        </row>
        <row r="278">
          <cell r="H278" t="str">
            <v>P70_8_35_4.fcvrp</v>
          </cell>
          <cell r="I278">
            <v>648</v>
          </cell>
        </row>
        <row r="279">
          <cell r="H279" t="str">
            <v>P76_3_38_1_1.fcvrp</v>
          </cell>
          <cell r="I279">
            <v>411</v>
          </cell>
        </row>
        <row r="280">
          <cell r="H280" t="str">
            <v>P76_3_38_2_1.fcvrp</v>
          </cell>
          <cell r="I280">
            <v>380</v>
          </cell>
        </row>
        <row r="281">
          <cell r="H281" t="str">
            <v>P76_4_38_3_1.fcvrp</v>
          </cell>
          <cell r="I281">
            <v>611</v>
          </cell>
        </row>
        <row r="282">
          <cell r="H282" t="str">
            <v>P76_4_38_4_1.fcvrp</v>
          </cell>
          <cell r="I282">
            <v>511</v>
          </cell>
        </row>
        <row r="283">
          <cell r="H283" t="str">
            <v>P76_4_38_1_2.fcvrp</v>
          </cell>
          <cell r="I283">
            <v>441</v>
          </cell>
        </row>
        <row r="284">
          <cell r="H284" t="str">
            <v>P76_3_38_2_2.fcvrp</v>
          </cell>
          <cell r="I284">
            <v>403</v>
          </cell>
        </row>
        <row r="285">
          <cell r="H285" t="str">
            <v>P76_5_38_3_2.fcvrp</v>
          </cell>
          <cell r="I285">
            <v>650</v>
          </cell>
        </row>
        <row r="286">
          <cell r="H286" t="str">
            <v>P76_5_38_4_2.fcvrp</v>
          </cell>
          <cell r="I286">
            <v>539</v>
          </cell>
        </row>
        <row r="287">
          <cell r="H287" t="str">
            <v>P101_3_51_1.fcvrp</v>
          </cell>
          <cell r="I287">
            <v>510</v>
          </cell>
        </row>
        <row r="288">
          <cell r="H288" t="str">
            <v>P101_3_51_2.fcvrp</v>
          </cell>
          <cell r="I288">
            <v>487</v>
          </cell>
        </row>
        <row r="289">
          <cell r="H289" t="str">
            <v>P101_4_51_3.fcvrp</v>
          </cell>
          <cell r="I289">
            <v>662</v>
          </cell>
        </row>
        <row r="290">
          <cell r="H290" t="str">
            <v>P101_3_51_4.fcvrp</v>
          </cell>
          <cell r="I290">
            <v>561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Davi Mattos De Oliveira" refreshedDate="45959.381193518515" createdVersion="8" refreshedVersion="8" minRefreshableVersion="3" recordCount="182" xr:uid="{3F5054FF-FF50-4D9A-BB85-279A18B6DFFE}">
  <cacheSource type="worksheet">
    <worksheetSource ref="A1:F1048576" sheet="Planilha1"/>
  </cacheSource>
  <cacheFields count="6">
    <cacheField name="Iter" numFmtId="0">
      <sharedItems containsString="0" containsBlank="1" containsNumber="1" containsInteger="1" minValue="500" maxValue="10000" count="6">
        <n v="500"/>
        <n v="1000"/>
        <n v="2000"/>
        <n v="5000"/>
        <n v="10000"/>
        <m/>
      </sharedItems>
    </cacheField>
    <cacheField name="Inst" numFmtId="0">
      <sharedItems containsBlank="1"/>
    </cacheField>
    <cacheField name="avgCost" numFmtId="0">
      <sharedItems containsString="0" containsBlank="1" containsNumber="1" minValue="198" maxValue="994"/>
    </cacheField>
    <cacheField name="avgTime" numFmtId="0">
      <sharedItems containsString="0" containsBlank="1" containsNumber="1" minValue="0.15222612899999999" maxValue="34.214822376800001"/>
    </cacheField>
    <cacheField name="BKS" numFmtId="0">
      <sharedItems containsString="0" containsBlank="1" containsNumber="1" containsInteger="1" minValue="208" maxValue="995"/>
    </cacheField>
    <cacheField name="gap" numFmtId="0">
      <sharedItems containsString="0" containsBlank="1" containsNumber="1" minValue="-6.3512361466325773E-2" maxValue="1.477832512315269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s v="P101_2_10_1.fcvrp"/>
    <n v="330"/>
    <n v="0.70760495140000002"/>
    <n v="339"/>
    <n v="-2.7272727272727337E-2"/>
  </r>
  <r>
    <x v="0"/>
    <s v="P101_2_10_2.fcvrp"/>
    <n v="198"/>
    <n v="0.33863100039999999"/>
    <n v="208"/>
    <n v="-5.0505050505050608E-2"/>
  </r>
  <r>
    <x v="0"/>
    <s v="P101_2_30_2.fcvrp"/>
    <n v="335.2"/>
    <n v="0.2559584848"/>
    <n v="350"/>
    <n v="-4.4152744630071572E-2"/>
  </r>
  <r>
    <x v="0"/>
    <s v="P101_3_10_3.fcvrp"/>
    <n v="529.6"/>
    <n v="1.7621451237999901"/>
    <n v="549"/>
    <n v="-3.663141993957697E-2"/>
  </r>
  <r>
    <x v="0"/>
    <s v="P101_3_10_4.fcvrp"/>
    <n v="474.6"/>
    <n v="2.1779449623999998"/>
    <n v="499"/>
    <n v="-5.1411715128529156E-2"/>
  </r>
  <r>
    <x v="0"/>
    <s v="P101_3_30_1.fcvrp"/>
    <n v="441.6"/>
    <n v="0.50704062660000004"/>
    <n v="453"/>
    <n v="-2.5815217391304213E-2"/>
  </r>
  <r>
    <x v="0"/>
    <s v="P101_3_30_4.fcvrp"/>
    <n v="429.4"/>
    <n v="0.63216633239999998"/>
    <n v="446"/>
    <n v="-3.8658593386120321E-2"/>
  </r>
  <r>
    <x v="0"/>
    <s v="P101_3_51_1.fcvrp"/>
    <n v="502.4"/>
    <n v="0.73818615179999902"/>
    <n v="510"/>
    <n v="-1.5127388535031816E-2"/>
  </r>
  <r>
    <x v="0"/>
    <s v="P101_3_51_2.fcvrp"/>
    <n v="470"/>
    <n v="0.69050161200000004"/>
    <n v="487"/>
    <n v="-3.6170212765957555E-2"/>
  </r>
  <r>
    <x v="0"/>
    <s v="P101_3_51_4.fcvrp"/>
    <n v="551.20000000000005"/>
    <n v="0.64105767739999997"/>
    <n v="561"/>
    <n v="-1.7779390420899821E-2"/>
  </r>
  <r>
    <x v="0"/>
    <s v="P101_4_30_3.fcvrp"/>
    <n v="627.4"/>
    <n v="0.94424315679999904"/>
    <n v="640"/>
    <n v="-2.0082881734140967E-2"/>
  </r>
  <r>
    <x v="0"/>
    <s v="P101_4_51_3.fcvrp"/>
    <n v="651.6"/>
    <n v="1.1564241099999999"/>
    <n v="662"/>
    <n v="-1.5960712093308738E-2"/>
  </r>
  <r>
    <x v="0"/>
    <s v="P60_10_30_3.fcvrp"/>
    <n v="756.4"/>
    <n v="0.5091944974"/>
    <n v="757"/>
    <n v="-7.9323109465900821E-4"/>
  </r>
  <r>
    <x v="0"/>
    <s v="P60_10_6_3.fcvrp"/>
    <n v="693"/>
    <n v="0.60919735159999999"/>
    <n v="693"/>
    <n v="0"/>
  </r>
  <r>
    <x v="0"/>
    <s v="P60_10_6_4.fcvrp"/>
    <n v="660"/>
    <n v="0.33504548159999997"/>
    <n v="665"/>
    <n v="-7.575757575757569E-3"/>
  </r>
  <r>
    <x v="0"/>
    <s v="P60_11_30_1.fcvrp"/>
    <n v="709"/>
    <n v="0.50027498560000006"/>
    <n v="709"/>
    <n v="0"/>
  </r>
  <r>
    <x v="0"/>
    <s v="P60_12_30_4.fcvrp"/>
    <n v="761.2"/>
    <n v="0.32094114779999999"/>
    <n v="761"/>
    <n v="2.6274303730955406E-4"/>
  </r>
  <r>
    <x v="0"/>
    <s v="P60_13_18_3.fcvrp"/>
    <n v="854.6"/>
    <n v="0.56285611140000003"/>
    <n v="853"/>
    <n v="1.8722209220688457E-3"/>
  </r>
  <r>
    <x v="0"/>
    <s v="P60_14_6_3.fcvrp"/>
    <n v="938"/>
    <n v="0.63330387939999999"/>
    <n v="938"/>
    <n v="0"/>
  </r>
  <r>
    <x v="0"/>
    <s v="P60_15_30_3.fcvrp"/>
    <n v="994"/>
    <n v="0.40683780980000001"/>
    <n v="995"/>
    <n v="-1.006036217303885E-3"/>
  </r>
  <r>
    <x v="0"/>
    <s v="P60_4_6_2.fcvrp"/>
    <n v="215"/>
    <n v="0.16566056700000001"/>
    <n v="215"/>
    <n v="0"/>
  </r>
  <r>
    <x v="0"/>
    <s v="P60_5_18_2.fcvrp"/>
    <n v="308"/>
    <n v="0.15222612899999999"/>
    <n v="308"/>
    <n v="0"/>
  </r>
  <r>
    <x v="0"/>
    <s v="P60_5_6_1.fcvrp"/>
    <n v="319"/>
    <n v="0.39374675859999902"/>
    <n v="321"/>
    <n v="-6.2695924764890609E-3"/>
  </r>
  <r>
    <x v="0"/>
    <s v="P60_5_6_2.fcvrp"/>
    <n v="257.2"/>
    <n v="0.1918916738"/>
    <n v="257"/>
    <n v="7.776049766717863E-4"/>
  </r>
  <r>
    <x v="0"/>
    <s v="P60_6_18_1.fcvrp"/>
    <n v="391"/>
    <n v="0.3091381292"/>
    <n v="391"/>
    <n v="0"/>
  </r>
  <r>
    <x v="0"/>
    <s v="P60_6_18_4.fcvrp"/>
    <n v="473.8"/>
    <n v="0.30896489459999998"/>
    <n v="476"/>
    <n v="-4.6433094132545261E-3"/>
  </r>
  <r>
    <x v="0"/>
    <s v="P60_6_30_2.fcvrp"/>
    <n v="487.2"/>
    <n v="0.3207210452"/>
    <n v="480"/>
    <n v="1.4778325123152691E-2"/>
  </r>
  <r>
    <x v="0"/>
    <s v="P60_7_18_2.fcvrp"/>
    <n v="377"/>
    <n v="0.1911955578"/>
    <n v="377"/>
    <n v="0"/>
  </r>
  <r>
    <x v="0"/>
    <s v="P60_7_6_4.fcvrp"/>
    <n v="474"/>
    <n v="0.3887656156"/>
    <n v="474"/>
    <n v="0"/>
  </r>
  <r>
    <x v="0"/>
    <s v="P60_8_18_1.fcvrp"/>
    <n v="488.4"/>
    <n v="0.24134534499999999"/>
    <n v="489"/>
    <n v="-1.2285012285013774E-3"/>
  </r>
  <r>
    <x v="0"/>
    <s v="P60_8_30_1.fcvrp"/>
    <n v="545.20000000000005"/>
    <n v="0.38276675360000001"/>
    <n v="548"/>
    <n v="-5.1357300073366918E-3"/>
  </r>
  <r>
    <x v="0"/>
    <s v="P60_8_30_4.fcvrp"/>
    <n v="583"/>
    <n v="0.326651200999999"/>
    <n v="583"/>
    <n v="0"/>
  </r>
  <r>
    <x v="0"/>
    <s v="P60_8_6_1.fcvrp"/>
    <n v="397"/>
    <n v="0.49012110660000002"/>
    <n v="397"/>
    <n v="0"/>
  </r>
  <r>
    <x v="0"/>
    <s v="P60_9_18_3.fcvrp"/>
    <n v="662.2"/>
    <n v="0.63370428199999995"/>
    <n v="665"/>
    <n v="-4.2283298097249844E-3"/>
  </r>
  <r>
    <x v="0"/>
    <s v="P60_9_18_4.fcvrp"/>
    <n v="607.20000000000005"/>
    <n v="0.30543278679999902"/>
    <n v="613"/>
    <n v="-9.5520421607377948E-3"/>
  </r>
  <r>
    <x v="0"/>
    <s v="P60_9_30_2.fcvrp"/>
    <n v="617.6"/>
    <n v="0.38134002340000001"/>
    <n v="627"/>
    <n v="-1.5220207253886064E-2"/>
  </r>
  <r>
    <x v="1"/>
    <s v="P101_2_10_1.fcvrp"/>
    <n v="330"/>
    <n v="1.32283786299999"/>
    <n v="339"/>
    <n v="-2.7272727272727337E-2"/>
  </r>
  <r>
    <x v="1"/>
    <s v="P101_2_10_2.fcvrp"/>
    <n v="198"/>
    <n v="0.66219522379999995"/>
    <n v="208"/>
    <n v="-5.0505050505050608E-2"/>
  </r>
  <r>
    <x v="1"/>
    <s v="P101_2_30_2.fcvrp"/>
    <n v="334.4"/>
    <n v="1.2245706461999999"/>
    <n v="350"/>
    <n v="-4.6650717703349276E-2"/>
  </r>
  <r>
    <x v="1"/>
    <s v="P101_3_10_3.fcvrp"/>
    <n v="524.4"/>
    <n v="4.1276600095999996"/>
    <n v="549"/>
    <n v="-4.6910755148741545E-2"/>
  </r>
  <r>
    <x v="1"/>
    <s v="P101_3_10_4.fcvrp"/>
    <n v="471.8"/>
    <n v="4.6937975378000001"/>
    <n v="499"/>
    <n v="-5.7651547265790581E-2"/>
  </r>
  <r>
    <x v="1"/>
    <s v="P101_3_30_1.fcvrp"/>
    <n v="437.6"/>
    <n v="1.1533456547999901"/>
    <n v="453"/>
    <n v="-3.5191956124314361E-2"/>
  </r>
  <r>
    <x v="1"/>
    <s v="P101_3_30_4.fcvrp"/>
    <n v="429.6"/>
    <n v="1.2781375792"/>
    <n v="446"/>
    <n v="-3.8175046554934866E-2"/>
  </r>
  <r>
    <x v="1"/>
    <s v="P101_3_51_1.fcvrp"/>
    <n v="499"/>
    <n v="1.4473081113999999"/>
    <n v="510"/>
    <n v="-2.2044088176352616E-2"/>
  </r>
  <r>
    <x v="1"/>
    <s v="P101_3_51_2.fcvrp"/>
    <n v="467.2"/>
    <n v="1.1853548577999999"/>
    <n v="487"/>
    <n v="-4.2380136986301498E-2"/>
  </r>
  <r>
    <x v="1"/>
    <s v="P101_3_51_4.fcvrp"/>
    <n v="547"/>
    <n v="1.4189846469999901"/>
    <n v="561"/>
    <n v="-2.5594149908592323E-2"/>
  </r>
  <r>
    <x v="1"/>
    <s v="P101_4_30_3.fcvrp"/>
    <n v="620"/>
    <n v="2.4574560576"/>
    <n v="640"/>
    <n v="-3.2258064516129004E-2"/>
  </r>
  <r>
    <x v="1"/>
    <s v="P101_4_51_3.fcvrp"/>
    <n v="640.4"/>
    <n v="2.3993255630000001"/>
    <n v="662"/>
    <n v="-3.3728919425359161E-2"/>
  </r>
  <r>
    <x v="1"/>
    <s v="P60_10_30_3.fcvrp"/>
    <n v="757"/>
    <n v="0.99302412380000005"/>
    <n v="757"/>
    <n v="0"/>
  </r>
  <r>
    <x v="1"/>
    <s v="P60_10_6_3.fcvrp"/>
    <n v="693"/>
    <n v="0.92643470159999997"/>
    <n v="693"/>
    <n v="0"/>
  </r>
  <r>
    <x v="1"/>
    <s v="P60_10_6_4.fcvrp"/>
    <n v="660"/>
    <n v="0.76863649039999904"/>
    <n v="665"/>
    <n v="-7.575757575757569E-3"/>
  </r>
  <r>
    <x v="1"/>
    <s v="P60_11_30_1.fcvrp"/>
    <n v="709"/>
    <n v="0.54021866439999999"/>
    <n v="709"/>
    <n v="0"/>
  </r>
  <r>
    <x v="1"/>
    <s v="P60_12_30_4.fcvrp"/>
    <n v="761"/>
    <n v="0.63458910999999996"/>
    <n v="761"/>
    <n v="0"/>
  </r>
  <r>
    <x v="1"/>
    <s v="P60_13_18_3.fcvrp"/>
    <n v="853"/>
    <n v="1.06017975459999"/>
    <n v="853"/>
    <n v="0"/>
  </r>
  <r>
    <x v="1"/>
    <s v="P60_14_6_3.fcvrp"/>
    <n v="938"/>
    <n v="1.0623422495999999"/>
    <n v="938"/>
    <n v="0"/>
  </r>
  <r>
    <x v="1"/>
    <s v="P60_15_30_3.fcvrp"/>
    <n v="992.4"/>
    <n v="0.85991453739999901"/>
    <n v="995"/>
    <n v="-2.6199113260783058E-3"/>
  </r>
  <r>
    <x v="1"/>
    <s v="P60_4_6_2.fcvrp"/>
    <n v="215"/>
    <n v="0.30477684900000002"/>
    <n v="215"/>
    <n v="0"/>
  </r>
  <r>
    <x v="1"/>
    <s v="P60_5_18_2.fcvrp"/>
    <n v="308"/>
    <n v="0.33967383499999998"/>
    <n v="308"/>
    <n v="0"/>
  </r>
  <r>
    <x v="1"/>
    <s v="P60_5_6_1.fcvrp"/>
    <n v="319"/>
    <n v="0.67878270500000004"/>
    <n v="321"/>
    <n v="-6.2695924764890609E-3"/>
  </r>
  <r>
    <x v="1"/>
    <s v="P60_5_6_2.fcvrp"/>
    <n v="257"/>
    <n v="0.34005158839999999"/>
    <n v="257"/>
    <n v="0"/>
  </r>
  <r>
    <x v="1"/>
    <s v="P60_6_18_1.fcvrp"/>
    <n v="391"/>
    <n v="0.48612292099999999"/>
    <n v="391"/>
    <n v="0"/>
  </r>
  <r>
    <x v="1"/>
    <s v="P60_6_18_4.fcvrp"/>
    <n v="467.6"/>
    <n v="0.58876891840000001"/>
    <n v="476"/>
    <n v="-1.7964071856287456E-2"/>
  </r>
  <r>
    <x v="1"/>
    <s v="P60_6_30_2.fcvrp"/>
    <n v="478"/>
    <n v="0.66164666519999904"/>
    <n v="480"/>
    <n v="-4.1841004184099972E-3"/>
  </r>
  <r>
    <x v="1"/>
    <s v="P60_7_18_2.fcvrp"/>
    <n v="377"/>
    <n v="0.32337478079999998"/>
    <n v="377"/>
    <n v="0"/>
  </r>
  <r>
    <x v="1"/>
    <s v="P60_7_6_4.fcvrp"/>
    <n v="474"/>
    <n v="0.62762137120000006"/>
    <n v="474"/>
    <n v="0"/>
  </r>
  <r>
    <x v="1"/>
    <s v="P60_8_18_1.fcvrp"/>
    <n v="488"/>
    <n v="0.49564831639999901"/>
    <n v="489"/>
    <n v="-2.049180327868827E-3"/>
  </r>
  <r>
    <x v="1"/>
    <s v="P60_8_30_1.fcvrp"/>
    <n v="545.20000000000005"/>
    <n v="0.71665711459999903"/>
    <n v="548"/>
    <n v="-5.1357300073366918E-3"/>
  </r>
  <r>
    <x v="1"/>
    <s v="P60_8_30_4.fcvrp"/>
    <n v="583"/>
    <n v="0.56501036059999998"/>
    <n v="583"/>
    <n v="0"/>
  </r>
  <r>
    <x v="1"/>
    <s v="P60_8_6_1.fcvrp"/>
    <n v="397"/>
    <n v="0.64785518320000002"/>
    <n v="397"/>
    <n v="0"/>
  </r>
  <r>
    <x v="1"/>
    <s v="P60_9_18_3.fcvrp"/>
    <n v="658.4"/>
    <n v="1.0769434849999999"/>
    <n v="665"/>
    <n v="-1.0024301336573505E-2"/>
  </r>
  <r>
    <x v="1"/>
    <s v="P60_9_18_4.fcvrp"/>
    <n v="606"/>
    <n v="0.45563014159999998"/>
    <n v="613"/>
    <n v="-1.1551155115511635E-2"/>
  </r>
  <r>
    <x v="1"/>
    <s v="P60_9_30_2.fcvrp"/>
    <n v="614"/>
    <n v="0.4283625258"/>
    <n v="627"/>
    <n v="-2.1172638436482094E-2"/>
  </r>
  <r>
    <x v="2"/>
    <s v="P101_2_10_1.fcvrp"/>
    <n v="328.6"/>
    <n v="2.3576924972"/>
    <n v="339"/>
    <n v="-3.1649421789409438E-2"/>
  </r>
  <r>
    <x v="2"/>
    <s v="P101_2_10_2.fcvrp"/>
    <n v="198"/>
    <n v="0.94763871820000001"/>
    <n v="208"/>
    <n v="-5.0505050505050608E-2"/>
  </r>
  <r>
    <x v="2"/>
    <s v="P101_2_30_2.fcvrp"/>
    <n v="334.2"/>
    <n v="1.0920724939999999"/>
    <n v="350"/>
    <n v="-4.7277079593058158E-2"/>
  </r>
  <r>
    <x v="2"/>
    <s v="P101_3_10_3.fcvrp"/>
    <n v="520.4"/>
    <n v="7.1625153482000004"/>
    <n v="549"/>
    <n v="-5.4957724827056076E-2"/>
  </r>
  <r>
    <x v="2"/>
    <s v="P101_3_10_4.fcvrp"/>
    <n v="471.4"/>
    <n v="5.4494652042"/>
    <n v="499"/>
    <n v="-5.8549002969876973E-2"/>
  </r>
  <r>
    <x v="2"/>
    <s v="P101_3_30_1.fcvrp"/>
    <n v="437"/>
    <n v="2.6150531886000001"/>
    <n v="453"/>
    <n v="-3.6613272311212919E-2"/>
  </r>
  <r>
    <x v="2"/>
    <s v="P101_3_30_4.fcvrp"/>
    <n v="426.2"/>
    <n v="2.4868644835999998"/>
    <n v="446"/>
    <n v="-4.6457062412013084E-2"/>
  </r>
  <r>
    <x v="2"/>
    <s v="P101_3_51_1.fcvrp"/>
    <n v="497.2"/>
    <n v="2.8038082096000001"/>
    <n v="510"/>
    <n v="-2.5744167337087731E-2"/>
  </r>
  <r>
    <x v="2"/>
    <s v="P101_3_51_2.fcvrp"/>
    <n v="466.6"/>
    <n v="2.31961797899999"/>
    <n v="487"/>
    <n v="-4.3720531504500615E-2"/>
  </r>
  <r>
    <x v="2"/>
    <s v="P101_3_51_4.fcvrp"/>
    <n v="546.79999999999995"/>
    <n v="2.4220776225999998"/>
    <n v="561"/>
    <n v="-2.5969275786393631E-2"/>
  </r>
  <r>
    <x v="2"/>
    <s v="P101_4_30_3.fcvrp"/>
    <n v="623"/>
    <n v="3.7650524731999999"/>
    <n v="640"/>
    <n v="-2.7287319422150791E-2"/>
  </r>
  <r>
    <x v="2"/>
    <s v="P101_4_51_3.fcvrp"/>
    <n v="641.20000000000005"/>
    <n v="4.8022211225999998"/>
    <n v="662"/>
    <n v="-3.2439176543979986E-2"/>
  </r>
  <r>
    <x v="2"/>
    <s v="P60_10_30_3.fcvrp"/>
    <n v="756"/>
    <n v="1.7338065687999999"/>
    <n v="757"/>
    <n v="-1.3227513227513921E-3"/>
  </r>
  <r>
    <x v="2"/>
    <s v="P60_10_6_3.fcvrp"/>
    <n v="693"/>
    <n v="1.849794621"/>
    <n v="693"/>
    <n v="0"/>
  </r>
  <r>
    <x v="2"/>
    <s v="P60_10_6_4.fcvrp"/>
    <n v="660"/>
    <n v="1.0380225614"/>
    <n v="665"/>
    <n v="-7.575757575757569E-3"/>
  </r>
  <r>
    <x v="2"/>
    <s v="P60_11_30_1.fcvrp"/>
    <n v="709"/>
    <n v="1.1284677018"/>
    <n v="709"/>
    <n v="0"/>
  </r>
  <r>
    <x v="2"/>
    <s v="P60_12_30_4.fcvrp"/>
    <n v="761"/>
    <n v="0.86051846759999995"/>
    <n v="761"/>
    <n v="0"/>
  </r>
  <r>
    <x v="2"/>
    <s v="P60_13_18_3.fcvrp"/>
    <n v="853"/>
    <n v="1.6200529572"/>
    <n v="853"/>
    <n v="0"/>
  </r>
  <r>
    <x v="2"/>
    <s v="P60_14_6_3.fcvrp"/>
    <n v="938"/>
    <n v="2.9067323616"/>
    <n v="938"/>
    <n v="0"/>
  </r>
  <r>
    <x v="2"/>
    <s v="P60_15_30_3.fcvrp"/>
    <n v="992.4"/>
    <n v="2.0205342475999899"/>
    <n v="995"/>
    <n v="-2.6199113260783058E-3"/>
  </r>
  <r>
    <x v="2"/>
    <s v="P60_4_6_2.fcvrp"/>
    <n v="215"/>
    <n v="0.53516309780000004"/>
    <n v="215"/>
    <n v="0"/>
  </r>
  <r>
    <x v="2"/>
    <s v="P60_5_18_2.fcvrp"/>
    <n v="308"/>
    <n v="0.56882704979999998"/>
    <n v="308"/>
    <n v="0"/>
  </r>
  <r>
    <x v="2"/>
    <s v="P60_5_6_1.fcvrp"/>
    <n v="319"/>
    <n v="1.2558840549999899"/>
    <n v="321"/>
    <n v="-6.2695924764890609E-3"/>
  </r>
  <r>
    <x v="2"/>
    <s v="P60_5_6_2.fcvrp"/>
    <n v="257"/>
    <n v="0.707608235999999"/>
    <n v="257"/>
    <n v="0"/>
  </r>
  <r>
    <x v="2"/>
    <s v="P60_6_18_1.fcvrp"/>
    <n v="391"/>
    <n v="0.98072952079999998"/>
    <n v="391"/>
    <n v="0"/>
  </r>
  <r>
    <x v="2"/>
    <s v="P60_6_18_4.fcvrp"/>
    <n v="467"/>
    <n v="1.1763641389999999"/>
    <n v="476"/>
    <n v="-1.9271948608136968E-2"/>
  </r>
  <r>
    <x v="2"/>
    <s v="P60_6_30_2.fcvrp"/>
    <n v="474.8"/>
    <n v="1.2370399688"/>
    <n v="480"/>
    <n v="-1.0951979780960297E-2"/>
  </r>
  <r>
    <x v="2"/>
    <s v="P60_7_18_2.fcvrp"/>
    <n v="377"/>
    <n v="0.43724674660000001"/>
    <n v="377"/>
    <n v="0"/>
  </r>
  <r>
    <x v="2"/>
    <s v="P60_7_6_4.fcvrp"/>
    <n v="474"/>
    <n v="1.3376256980000001"/>
    <n v="474"/>
    <n v="0"/>
  </r>
  <r>
    <x v="2"/>
    <s v="P60_8_18_1.fcvrp"/>
    <n v="488"/>
    <n v="0.8230941732"/>
    <n v="489"/>
    <n v="-2.049180327868827E-3"/>
  </r>
  <r>
    <x v="2"/>
    <s v="P60_8_30_1.fcvrp"/>
    <n v="545"/>
    <n v="1.0454901329999999"/>
    <n v="548"/>
    <n v="-5.5045871559633586E-3"/>
  </r>
  <r>
    <x v="2"/>
    <s v="P60_8_30_4.fcvrp"/>
    <n v="583"/>
    <n v="1.012828005"/>
    <n v="583"/>
    <n v="0"/>
  </r>
  <r>
    <x v="2"/>
    <s v="P60_8_6_1.fcvrp"/>
    <n v="397"/>
    <n v="1.3002057061999901"/>
    <n v="397"/>
    <n v="0"/>
  </r>
  <r>
    <x v="2"/>
    <s v="P60_9_18_3.fcvrp"/>
    <n v="658"/>
    <n v="1.6962278369999999"/>
    <n v="665"/>
    <n v="-1.0638297872340496E-2"/>
  </r>
  <r>
    <x v="2"/>
    <s v="P60_9_18_4.fcvrp"/>
    <n v="606"/>
    <n v="0.7184995824"/>
    <n v="613"/>
    <n v="-1.1551155115511635E-2"/>
  </r>
  <r>
    <x v="2"/>
    <s v="P60_9_30_2.fcvrp"/>
    <n v="614"/>
    <n v="0.78946036320000001"/>
    <n v="627"/>
    <n v="-2.1172638436482094E-2"/>
  </r>
  <r>
    <x v="3"/>
    <s v="P101_2_10_1.fcvrp"/>
    <n v="328.2"/>
    <n v="5.07161550759999"/>
    <n v="339"/>
    <n v="-3.2906764168190161E-2"/>
  </r>
  <r>
    <x v="3"/>
    <s v="P101_2_10_2.fcvrp"/>
    <n v="198"/>
    <n v="2.2946934992000001"/>
    <n v="208"/>
    <n v="-5.0505050505050608E-2"/>
  </r>
  <r>
    <x v="3"/>
    <s v="P101_2_30_2.fcvrp"/>
    <n v="334"/>
    <n v="2.5645434288"/>
    <n v="350"/>
    <n v="-4.7904191616766401E-2"/>
  </r>
  <r>
    <x v="3"/>
    <s v="P101_3_10_3.fcvrp"/>
    <n v="518.6"/>
    <n v="13.763157167599999"/>
    <n v="549"/>
    <n v="-5.8619359814886085E-2"/>
  </r>
  <r>
    <x v="3"/>
    <s v="P101_3_10_4.fcvrp"/>
    <n v="471"/>
    <n v="17.962987495"/>
    <n v="499"/>
    <n v="-5.9447983014861983E-2"/>
  </r>
  <r>
    <x v="3"/>
    <s v="P101_3_30_1.fcvrp"/>
    <n v="433"/>
    <n v="5.1418310399999996"/>
    <n v="453"/>
    <n v="-4.6189376443418029E-2"/>
  </r>
  <r>
    <x v="3"/>
    <s v="P101_3_30_4.fcvrp"/>
    <n v="424.6"/>
    <n v="7.8790792851999996"/>
    <n v="446"/>
    <n v="-5.0400376825247228E-2"/>
  </r>
  <r>
    <x v="3"/>
    <s v="P101_3_51_1.fcvrp"/>
    <n v="496.8"/>
    <n v="5.5094236444"/>
    <n v="510"/>
    <n v="-2.657004830917864E-2"/>
  </r>
  <r>
    <x v="3"/>
    <s v="P101_3_51_2.fcvrp"/>
    <n v="466"/>
    <n v="4.3996623399999999"/>
    <n v="487"/>
    <n v="-4.5064377682403345E-2"/>
  </r>
  <r>
    <x v="3"/>
    <s v="P101_3_51_4.fcvrp"/>
    <n v="543.79999999999995"/>
    <n v="6.7972435021999997"/>
    <n v="561"/>
    <n v="-3.1629275468922469E-2"/>
  </r>
  <r>
    <x v="3"/>
    <s v="P101_4_30_3.fcvrp"/>
    <n v="616.20000000000005"/>
    <n v="10.2129123348"/>
    <n v="640"/>
    <n v="-3.8623823433949989E-2"/>
  </r>
  <r>
    <x v="3"/>
    <s v="P101_4_51_3.fcvrp"/>
    <n v="638.6"/>
    <n v="11.2824827294"/>
    <n v="662"/>
    <n v="-3.6642655809583369E-2"/>
  </r>
  <r>
    <x v="3"/>
    <s v="P60_10_30_3.fcvrp"/>
    <n v="756"/>
    <n v="3.6555911967999899"/>
    <n v="757"/>
    <n v="-1.3227513227513921E-3"/>
  </r>
  <r>
    <x v="3"/>
    <s v="P60_10_6_3.fcvrp"/>
    <n v="693"/>
    <n v="3.81062898019999"/>
    <n v="693"/>
    <n v="0"/>
  </r>
  <r>
    <x v="3"/>
    <s v="P60_10_6_4.fcvrp"/>
    <n v="660"/>
    <n v="2.9194402182000001"/>
    <n v="665"/>
    <n v="-7.575757575757569E-3"/>
  </r>
  <r>
    <x v="3"/>
    <s v="P60_11_30_1.fcvrp"/>
    <n v="709"/>
    <n v="2.36798993479999"/>
    <n v="709"/>
    <n v="0"/>
  </r>
  <r>
    <x v="3"/>
    <s v="P60_12_30_4.fcvrp"/>
    <n v="761"/>
    <n v="2.304270405"/>
    <n v="761"/>
    <n v="0"/>
  </r>
  <r>
    <x v="3"/>
    <s v="P60_13_18_3.fcvrp"/>
    <n v="853"/>
    <n v="3.4151116025999899"/>
    <n v="853"/>
    <n v="0"/>
  </r>
  <r>
    <x v="3"/>
    <s v="P60_14_6_3.fcvrp"/>
    <n v="938"/>
    <n v="4.7341471168"/>
    <n v="938"/>
    <n v="0"/>
  </r>
  <r>
    <x v="3"/>
    <s v="P60_15_30_3.fcvrp"/>
    <n v="992"/>
    <n v="3.0289828652000002"/>
    <n v="995"/>
    <n v="-3.0241935483870108E-3"/>
  </r>
  <r>
    <x v="3"/>
    <s v="P60_4_6_2.fcvrp"/>
    <n v="215"/>
    <n v="1.213535367"/>
    <n v="215"/>
    <n v="0"/>
  </r>
  <r>
    <x v="3"/>
    <s v="P60_5_18_2.fcvrp"/>
    <n v="308"/>
    <n v="1.1816000469999901"/>
    <n v="308"/>
    <n v="0"/>
  </r>
  <r>
    <x v="3"/>
    <s v="P60_5_6_1.fcvrp"/>
    <n v="319"/>
    <n v="3.1087631498000001"/>
    <n v="321"/>
    <n v="-6.2695924764890609E-3"/>
  </r>
  <r>
    <x v="3"/>
    <s v="P60_5_6_2.fcvrp"/>
    <n v="257"/>
    <n v="1.3629709148"/>
    <n v="257"/>
    <n v="0"/>
  </r>
  <r>
    <x v="3"/>
    <s v="P60_6_18_1.fcvrp"/>
    <n v="391"/>
    <n v="2.2239430859999998"/>
    <n v="391"/>
    <n v="0"/>
  </r>
  <r>
    <x v="3"/>
    <s v="P60_6_18_4.fcvrp"/>
    <n v="467"/>
    <n v="2.4575268956"/>
    <n v="476"/>
    <n v="-1.9271948608136968E-2"/>
  </r>
  <r>
    <x v="3"/>
    <s v="P60_6_30_2.fcvrp"/>
    <n v="473.4"/>
    <n v="2.403433809"/>
    <n v="480"/>
    <n v="-1.3941698352344822E-2"/>
  </r>
  <r>
    <x v="3"/>
    <s v="P60_7_18_2.fcvrp"/>
    <n v="377"/>
    <n v="1.0003760462"/>
    <n v="377"/>
    <n v="0"/>
  </r>
  <r>
    <x v="3"/>
    <s v="P60_7_6_4.fcvrp"/>
    <n v="474"/>
    <n v="2.8764019232"/>
    <n v="474"/>
    <n v="0"/>
  </r>
  <r>
    <x v="3"/>
    <s v="P60_8_18_1.fcvrp"/>
    <n v="488"/>
    <n v="1.8020821478"/>
    <n v="489"/>
    <n v="-2.049180327868827E-3"/>
  </r>
  <r>
    <x v="3"/>
    <s v="P60_8_30_1.fcvrp"/>
    <n v="545"/>
    <n v="2.2373996435999999"/>
    <n v="548"/>
    <n v="-5.5045871559633586E-3"/>
  </r>
  <r>
    <x v="3"/>
    <s v="P60_8_30_4.fcvrp"/>
    <n v="583"/>
    <n v="1.7952758691999999"/>
    <n v="583"/>
    <n v="0"/>
  </r>
  <r>
    <x v="3"/>
    <s v="P60_8_6_1.fcvrp"/>
    <n v="397"/>
    <n v="2.8017302289999901"/>
    <n v="397"/>
    <n v="0"/>
  </r>
  <r>
    <x v="3"/>
    <s v="P60_9_18_3.fcvrp"/>
    <n v="658"/>
    <n v="4.2506695305999997"/>
    <n v="665"/>
    <n v="-1.0638297872340496E-2"/>
  </r>
  <r>
    <x v="3"/>
    <s v="P60_9_18_4.fcvrp"/>
    <n v="606"/>
    <n v="2.756603358"/>
    <n v="613"/>
    <n v="-1.1551155115511635E-2"/>
  </r>
  <r>
    <x v="3"/>
    <s v="P60_9_30_2.fcvrp"/>
    <n v="614"/>
    <n v="2.9673089975999898"/>
    <n v="627"/>
    <n v="-2.1172638436482094E-2"/>
  </r>
  <r>
    <x v="4"/>
    <s v="P101_2_10_1.fcvrp"/>
    <n v="328"/>
    <n v="9.8263761134000003"/>
    <n v="339"/>
    <n v="-3.3536585365853577E-2"/>
  </r>
  <r>
    <x v="4"/>
    <s v="P101_2_10_2.fcvrp"/>
    <n v="198"/>
    <n v="4.6067962297999996"/>
    <n v="208"/>
    <n v="-5.0505050505050608E-2"/>
  </r>
  <r>
    <x v="4"/>
    <s v="P101_2_30_2.fcvrp"/>
    <n v="334"/>
    <n v="4.5213804201999999"/>
    <n v="350"/>
    <n v="-4.7904191616766401E-2"/>
  </r>
  <r>
    <x v="4"/>
    <s v="P101_3_10_3.fcvrp"/>
    <n v="518"/>
    <n v="34.214822376800001"/>
    <n v="549"/>
    <n v="-5.9845559845559837E-2"/>
  </r>
  <r>
    <x v="4"/>
    <s v="P101_3_10_4.fcvrp"/>
    <n v="469.2"/>
    <n v="26.692637377600001"/>
    <n v="499"/>
    <n v="-6.3512361466325773E-2"/>
  </r>
  <r>
    <x v="4"/>
    <s v="P101_3_30_1.fcvrp"/>
    <n v="432"/>
    <n v="10.380685582"/>
    <n v="453"/>
    <n v="-4.861111111111116E-2"/>
  </r>
  <r>
    <x v="4"/>
    <s v="P101_3_30_4.fcvrp"/>
    <n v="424"/>
    <n v="12.2563116523999"/>
    <n v="446"/>
    <n v="-5.1886792452830122E-2"/>
  </r>
  <r>
    <x v="4"/>
    <s v="P101_3_51_1.fcvrp"/>
    <n v="495.6"/>
    <n v="12.934465495"/>
    <n v="510"/>
    <n v="-2.9055690072639084E-2"/>
  </r>
  <r>
    <x v="4"/>
    <s v="P101_3_51_2.fcvrp"/>
    <n v="465.4"/>
    <n v="9.5409911881999996"/>
    <n v="487"/>
    <n v="-4.6411688869789414E-2"/>
  </r>
  <r>
    <x v="4"/>
    <s v="P101_3_51_4.fcvrp"/>
    <n v="542.79999999999995"/>
    <n v="11.6461921602"/>
    <n v="561"/>
    <n v="-3.3529845246868195E-2"/>
  </r>
  <r>
    <x v="4"/>
    <s v="P101_4_30_3.fcvrp"/>
    <n v="615"/>
    <n v="22.578309824999899"/>
    <n v="640"/>
    <n v="-4.0650406504065151E-2"/>
  </r>
  <r>
    <x v="4"/>
    <s v="P101_4_51_3.fcvrp"/>
    <n v="638"/>
    <n v="24.496184467799999"/>
    <n v="662"/>
    <n v="-3.7617554858934144E-2"/>
  </r>
  <r>
    <x v="4"/>
    <s v="P60_10_30_3.fcvrp"/>
    <n v="756"/>
    <n v="8.9386010969999994"/>
    <n v="757"/>
    <n v="-1.3227513227513921E-3"/>
  </r>
  <r>
    <x v="4"/>
    <s v="P60_10_6_3.fcvrp"/>
    <n v="693"/>
    <n v="6.0187589099999999"/>
    <n v="693"/>
    <n v="0"/>
  </r>
  <r>
    <x v="4"/>
    <s v="P60_10_6_4.fcvrp"/>
    <n v="660"/>
    <n v="4.9279541527999999"/>
    <n v="665"/>
    <n v="-7.575757575757569E-3"/>
  </r>
  <r>
    <x v="4"/>
    <s v="P60_11_30_1.fcvrp"/>
    <n v="709"/>
    <n v="4.7203264559999996"/>
    <n v="709"/>
    <n v="0"/>
  </r>
  <r>
    <x v="4"/>
    <s v="P60_12_30_4.fcvrp"/>
    <n v="761"/>
    <n v="4.5446915303999997"/>
    <n v="761"/>
    <n v="0"/>
  </r>
  <r>
    <x v="4"/>
    <s v="P60_13_18_3.fcvrp"/>
    <n v="853"/>
    <n v="6.3249647645999998"/>
    <n v="853"/>
    <n v="0"/>
  </r>
  <r>
    <x v="4"/>
    <s v="P60_14_6_3.fcvrp"/>
    <n v="938"/>
    <n v="8.9584964175999993"/>
    <n v="938"/>
    <n v="0"/>
  </r>
  <r>
    <x v="4"/>
    <s v="P60_15_30_3.fcvrp"/>
    <n v="992"/>
    <n v="6.0567298226000004"/>
    <n v="995"/>
    <n v="-3.0241935483870108E-3"/>
  </r>
  <r>
    <x v="4"/>
    <s v="P60_4_6_2.fcvrp"/>
    <n v="215"/>
    <n v="2.3384939440000001"/>
    <n v="215"/>
    <n v="0"/>
  </r>
  <r>
    <x v="4"/>
    <s v="P60_5_18_2.fcvrp"/>
    <n v="308"/>
    <n v="1.8383899299999999"/>
    <n v="308"/>
    <n v="0"/>
  </r>
  <r>
    <x v="4"/>
    <s v="P60_5_6_1.fcvrp"/>
    <n v="319"/>
    <n v="6.3226433675999996"/>
    <n v="321"/>
    <n v="-6.2695924764890609E-3"/>
  </r>
  <r>
    <x v="4"/>
    <s v="P60_5_6_2.fcvrp"/>
    <n v="257"/>
    <n v="2.7074809557999999"/>
    <n v="257"/>
    <n v="0"/>
  </r>
  <r>
    <x v="4"/>
    <s v="P60_6_18_1.fcvrp"/>
    <n v="391"/>
    <n v="3.9989289488000002"/>
    <n v="391"/>
    <n v="0"/>
  </r>
  <r>
    <x v="4"/>
    <s v="P60_6_18_4.fcvrp"/>
    <n v="467"/>
    <n v="4.3822711217999997"/>
    <n v="476"/>
    <n v="-1.9271948608136968E-2"/>
  </r>
  <r>
    <x v="4"/>
    <s v="P60_6_30_2.fcvrp"/>
    <n v="473"/>
    <n v="4.2457069153999996"/>
    <n v="480"/>
    <n v="-1.4799154334038001E-2"/>
  </r>
  <r>
    <x v="4"/>
    <s v="P60_7_18_2.fcvrp"/>
    <n v="377"/>
    <n v="1.8610708164"/>
    <n v="377"/>
    <n v="0"/>
  </r>
  <r>
    <x v="4"/>
    <s v="P60_7_6_4.fcvrp"/>
    <n v="474"/>
    <n v="4.4297773691999902"/>
    <n v="474"/>
    <n v="0"/>
  </r>
  <r>
    <x v="4"/>
    <s v="P60_8_18_1.fcvrp"/>
    <n v="488"/>
    <n v="3.6552840627999998"/>
    <n v="489"/>
    <n v="-2.049180327868827E-3"/>
  </r>
  <r>
    <x v="4"/>
    <s v="P60_8_30_1.fcvrp"/>
    <n v="545"/>
    <n v="3.5354128275999899"/>
    <n v="548"/>
    <n v="-5.5045871559633586E-3"/>
  </r>
  <r>
    <x v="4"/>
    <s v="P60_8_30_4.fcvrp"/>
    <n v="583"/>
    <n v="3.3194552104000001"/>
    <n v="583"/>
    <n v="0"/>
  </r>
  <r>
    <x v="4"/>
    <s v="P60_8_6_1.fcvrp"/>
    <n v="397"/>
    <n v="5.3004725714000003"/>
    <n v="397"/>
    <n v="0"/>
  </r>
  <r>
    <x v="4"/>
    <s v="P60_9_18_3.fcvrp"/>
    <n v="658"/>
    <n v="6.8092775731999904"/>
    <n v="665"/>
    <n v="-1.0638297872340496E-2"/>
  </r>
  <r>
    <x v="4"/>
    <s v="P60_9_18_4.fcvrp"/>
    <n v="606"/>
    <n v="3.9846926248000001"/>
    <n v="613"/>
    <n v="-1.1551155115511635E-2"/>
  </r>
  <r>
    <x v="4"/>
    <s v="P60_9_30_2.fcvrp"/>
    <n v="614"/>
    <n v="3.4990181640000002"/>
    <n v="627"/>
    <n v="-2.1172638436482094E-2"/>
  </r>
  <r>
    <x v="5"/>
    <m/>
    <m/>
    <m/>
    <m/>
    <m/>
  </r>
  <r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07022-F3B2-4F0F-8355-C383BC1A80D0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0" firstHeaderRow="0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gap" fld="5" subtotal="average" baseField="0" baseItem="0"/>
    <dataField name="Média de avgTim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5237-8AF9-4B8D-9303-83AB35563178}">
  <dimension ref="A3:C10"/>
  <sheetViews>
    <sheetView workbookViewId="0">
      <selection activeCell="C7" sqref="A7:C7"/>
    </sheetView>
  </sheetViews>
  <sheetFormatPr defaultRowHeight="14.3" x14ac:dyDescent="0.25"/>
  <cols>
    <col min="1" max="1" width="16.5" bestFit="1" customWidth="1"/>
    <col min="2" max="2" width="12.5" bestFit="1" customWidth="1"/>
    <col min="3" max="3" width="15.5" bestFit="1" customWidth="1"/>
  </cols>
  <sheetData>
    <row r="3" spans="1:3" x14ac:dyDescent="0.25">
      <c r="A3" s="1" t="s">
        <v>40</v>
      </c>
      <c r="B3" t="s">
        <v>46</v>
      </c>
      <c r="C3" t="s">
        <v>43</v>
      </c>
    </row>
    <row r="4" spans="1:3" x14ac:dyDescent="0.25">
      <c r="A4" s="2">
        <v>500</v>
      </c>
      <c r="B4" s="3">
        <v>-1.159805269392131E-2</v>
      </c>
      <c r="C4" s="3">
        <v>0.54481187009999965</v>
      </c>
    </row>
    <row r="5" spans="1:3" x14ac:dyDescent="0.25">
      <c r="A5" s="2">
        <v>1000</v>
      </c>
      <c r="B5" s="3">
        <v>-1.5191933290678842E-2</v>
      </c>
      <c r="C5" s="3">
        <v>1.0820344484499986</v>
      </c>
    </row>
    <row r="6" spans="1:3" x14ac:dyDescent="0.25">
      <c r="A6" s="2">
        <v>2000</v>
      </c>
      <c r="B6" s="3">
        <v>-1.6113802361114721E-2</v>
      </c>
      <c r="C6" s="3">
        <v>1.8612306427722214</v>
      </c>
    </row>
    <row r="7" spans="1:3" x14ac:dyDescent="0.25">
      <c r="A7" s="2">
        <v>5000</v>
      </c>
      <c r="B7" s="3">
        <v>-1.7411807885680322E-2</v>
      </c>
      <c r="C7" s="3">
        <v>4.3209837585611091</v>
      </c>
    </row>
    <row r="8" spans="1:3" x14ac:dyDescent="0.25">
      <c r="A8" s="2">
        <v>10000</v>
      </c>
      <c r="B8" s="3">
        <v>-1.7951280408042218E-2</v>
      </c>
      <c r="C8" s="3">
        <v>8.2337236789611055</v>
      </c>
    </row>
    <row r="9" spans="1:3" x14ac:dyDescent="0.25">
      <c r="A9" s="2" t="s">
        <v>41</v>
      </c>
      <c r="B9" s="3"/>
      <c r="C9" s="3"/>
    </row>
    <row r="10" spans="1:3" x14ac:dyDescent="0.25">
      <c r="A10" s="2" t="s">
        <v>42</v>
      </c>
      <c r="B10" s="3">
        <v>-1.5653375327887471E-2</v>
      </c>
      <c r="C10" s="3">
        <v>3.2085568797688842</v>
      </c>
    </row>
  </sheetData>
  <pageMargins left="0.511811024" right="0.511811024" top="0.78740157499999996" bottom="0.78740157499999996" header="0.31496062000000002" footer="0.31496062000000002"/>
  <headerFooter>
    <oddHeader>&amp;R&amp;"Calibri"&amp;10&amp;K000000 RESERVADA&amp;1#_x000D_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A11E-FF56-4320-8AC3-7600F8FD589B}">
  <sheetPr filterMode="1"/>
  <dimension ref="A1:F181"/>
  <sheetViews>
    <sheetView tabSelected="1" workbookViewId="0">
      <selection activeCell="G124" sqref="G124"/>
    </sheetView>
  </sheetViews>
  <sheetFormatPr defaultRowHeight="14.3" x14ac:dyDescent="0.25"/>
  <cols>
    <col min="2" max="2" width="16.75" customWidth="1"/>
  </cols>
  <sheetData>
    <row r="1" spans="1:6" x14ac:dyDescent="0.25">
      <c r="A1" t="s">
        <v>36</v>
      </c>
      <c r="B1" t="s">
        <v>37</v>
      </c>
      <c r="C1" t="s">
        <v>38</v>
      </c>
      <c r="D1" t="s">
        <v>39</v>
      </c>
      <c r="E1" t="s">
        <v>44</v>
      </c>
      <c r="F1" t="s">
        <v>45</v>
      </c>
    </row>
    <row r="2" spans="1:6" hidden="1" x14ac:dyDescent="0.25">
      <c r="A2">
        <v>500</v>
      </c>
      <c r="B2" t="s">
        <v>0</v>
      </c>
      <c r="C2">
        <v>330</v>
      </c>
      <c r="D2">
        <v>0.70760495140000002</v>
      </c>
      <c r="E2">
        <f>VLOOKUP(B2,[1]Bernardino_Heuristic!$H:$I,2,FALSE)</f>
        <v>339</v>
      </c>
      <c r="F2" s="4">
        <f>1-E2/C2</f>
        <v>-2.7272727272727337E-2</v>
      </c>
    </row>
    <row r="3" spans="1:6" hidden="1" x14ac:dyDescent="0.25">
      <c r="A3">
        <v>500</v>
      </c>
      <c r="B3" t="s">
        <v>1</v>
      </c>
      <c r="C3">
        <v>198</v>
      </c>
      <c r="D3">
        <v>0.33863100039999999</v>
      </c>
      <c r="E3">
        <f>VLOOKUP(B3,[1]Bernardino_Heuristic!$H:$I,2,FALSE)</f>
        <v>208</v>
      </c>
      <c r="F3" s="4">
        <f t="shared" ref="F3:F66" si="0">1-E3/C3</f>
        <v>-5.0505050505050608E-2</v>
      </c>
    </row>
    <row r="4" spans="1:6" hidden="1" x14ac:dyDescent="0.25">
      <c r="A4">
        <v>500</v>
      </c>
      <c r="B4" t="s">
        <v>2</v>
      </c>
      <c r="C4">
        <v>335.2</v>
      </c>
      <c r="D4">
        <v>0.2559584848</v>
      </c>
      <c r="E4">
        <f>VLOOKUP(B4,[1]Bernardino_Heuristic!$H:$I,2,FALSE)</f>
        <v>350</v>
      </c>
      <c r="F4" s="4">
        <f t="shared" si="0"/>
        <v>-4.4152744630071572E-2</v>
      </c>
    </row>
    <row r="5" spans="1:6" hidden="1" x14ac:dyDescent="0.25">
      <c r="A5">
        <v>500</v>
      </c>
      <c r="B5" t="s">
        <v>3</v>
      </c>
      <c r="C5">
        <v>529.6</v>
      </c>
      <c r="D5">
        <v>1.7621451237999901</v>
      </c>
      <c r="E5">
        <f>VLOOKUP(B5,[1]Bernardino_Heuristic!$H:$I,2,FALSE)</f>
        <v>549</v>
      </c>
      <c r="F5" s="4">
        <f t="shared" si="0"/>
        <v>-3.663141993957697E-2</v>
      </c>
    </row>
    <row r="6" spans="1:6" hidden="1" x14ac:dyDescent="0.25">
      <c r="A6">
        <v>500</v>
      </c>
      <c r="B6" t="s">
        <v>4</v>
      </c>
      <c r="C6">
        <v>474.6</v>
      </c>
      <c r="D6">
        <v>2.1779449623999998</v>
      </c>
      <c r="E6">
        <f>VLOOKUP(B6,[1]Bernardino_Heuristic!$H:$I,2,FALSE)</f>
        <v>499</v>
      </c>
      <c r="F6" s="4">
        <f t="shared" si="0"/>
        <v>-5.1411715128529156E-2</v>
      </c>
    </row>
    <row r="7" spans="1:6" hidden="1" x14ac:dyDescent="0.25">
      <c r="A7">
        <v>500</v>
      </c>
      <c r="B7" t="s">
        <v>5</v>
      </c>
      <c r="C7">
        <v>441.6</v>
      </c>
      <c r="D7">
        <v>0.50704062660000004</v>
      </c>
      <c r="E7">
        <f>VLOOKUP(B7,[1]Bernardino_Heuristic!$H:$I,2,FALSE)</f>
        <v>453</v>
      </c>
      <c r="F7" s="4">
        <f t="shared" si="0"/>
        <v>-2.5815217391304213E-2</v>
      </c>
    </row>
    <row r="8" spans="1:6" hidden="1" x14ac:dyDescent="0.25">
      <c r="A8">
        <v>500</v>
      </c>
      <c r="B8" t="s">
        <v>6</v>
      </c>
      <c r="C8">
        <v>429.4</v>
      </c>
      <c r="D8">
        <v>0.63216633239999998</v>
      </c>
      <c r="E8">
        <f>VLOOKUP(B8,[1]Bernardino_Heuristic!$H:$I,2,FALSE)</f>
        <v>446</v>
      </c>
      <c r="F8" s="4">
        <f t="shared" si="0"/>
        <v>-3.8658593386120321E-2</v>
      </c>
    </row>
    <row r="9" spans="1:6" hidden="1" x14ac:dyDescent="0.25">
      <c r="A9">
        <v>500</v>
      </c>
      <c r="B9" t="s">
        <v>7</v>
      </c>
      <c r="C9">
        <v>502.4</v>
      </c>
      <c r="D9">
        <v>0.73818615179999902</v>
      </c>
      <c r="E9">
        <f>VLOOKUP(B9,[1]Bernardino_Heuristic!$H:$I,2,FALSE)</f>
        <v>510</v>
      </c>
      <c r="F9" s="4">
        <f t="shared" si="0"/>
        <v>-1.5127388535031816E-2</v>
      </c>
    </row>
    <row r="10" spans="1:6" hidden="1" x14ac:dyDescent="0.25">
      <c r="A10">
        <v>500</v>
      </c>
      <c r="B10" t="s">
        <v>8</v>
      </c>
      <c r="C10">
        <v>470</v>
      </c>
      <c r="D10">
        <v>0.69050161200000004</v>
      </c>
      <c r="E10">
        <f>VLOOKUP(B10,[1]Bernardino_Heuristic!$H:$I,2,FALSE)</f>
        <v>487</v>
      </c>
      <c r="F10" s="4">
        <f t="shared" si="0"/>
        <v>-3.6170212765957555E-2</v>
      </c>
    </row>
    <row r="11" spans="1:6" hidden="1" x14ac:dyDescent="0.25">
      <c r="A11">
        <v>500</v>
      </c>
      <c r="B11" t="s">
        <v>9</v>
      </c>
      <c r="C11">
        <v>551.20000000000005</v>
      </c>
      <c r="D11">
        <v>0.64105767739999997</v>
      </c>
      <c r="E11">
        <f>VLOOKUP(B11,[1]Bernardino_Heuristic!$H:$I,2,FALSE)</f>
        <v>561</v>
      </c>
      <c r="F11" s="4">
        <f t="shared" si="0"/>
        <v>-1.7779390420899821E-2</v>
      </c>
    </row>
    <row r="12" spans="1:6" hidden="1" x14ac:dyDescent="0.25">
      <c r="A12">
        <v>500</v>
      </c>
      <c r="B12" t="s">
        <v>10</v>
      </c>
      <c r="C12">
        <v>627.4</v>
      </c>
      <c r="D12">
        <v>0.94424315679999904</v>
      </c>
      <c r="E12">
        <f>VLOOKUP(B12,[1]Bernardino_Heuristic!$H:$I,2,FALSE)</f>
        <v>640</v>
      </c>
      <c r="F12" s="4">
        <f t="shared" si="0"/>
        <v>-2.0082881734140967E-2</v>
      </c>
    </row>
    <row r="13" spans="1:6" hidden="1" x14ac:dyDescent="0.25">
      <c r="A13">
        <v>500</v>
      </c>
      <c r="B13" t="s">
        <v>11</v>
      </c>
      <c r="C13">
        <v>651.6</v>
      </c>
      <c r="D13">
        <v>1.1564241099999999</v>
      </c>
      <c r="E13">
        <f>VLOOKUP(B13,[1]Bernardino_Heuristic!$H:$I,2,FALSE)</f>
        <v>662</v>
      </c>
      <c r="F13" s="4">
        <f t="shared" si="0"/>
        <v>-1.5960712093308738E-2</v>
      </c>
    </row>
    <row r="14" spans="1:6" hidden="1" x14ac:dyDescent="0.25">
      <c r="A14">
        <v>500</v>
      </c>
      <c r="B14" t="s">
        <v>12</v>
      </c>
      <c r="C14">
        <v>756.4</v>
      </c>
      <c r="D14">
        <v>0.5091944974</v>
      </c>
      <c r="E14">
        <f>VLOOKUP(B14,[1]Bernardino_Heuristic!$H:$I,2,FALSE)</f>
        <v>757</v>
      </c>
      <c r="F14" s="4">
        <f t="shared" si="0"/>
        <v>-7.9323109465900821E-4</v>
      </c>
    </row>
    <row r="15" spans="1:6" hidden="1" x14ac:dyDescent="0.25">
      <c r="A15">
        <v>500</v>
      </c>
      <c r="B15" t="s">
        <v>13</v>
      </c>
      <c r="C15">
        <v>693</v>
      </c>
      <c r="D15">
        <v>0.60919735159999999</v>
      </c>
      <c r="E15">
        <f>VLOOKUP(B15,[1]Bernardino_Heuristic!$H:$I,2,FALSE)</f>
        <v>693</v>
      </c>
      <c r="F15" s="4">
        <f t="shared" si="0"/>
        <v>0</v>
      </c>
    </row>
    <row r="16" spans="1:6" hidden="1" x14ac:dyDescent="0.25">
      <c r="A16">
        <v>500</v>
      </c>
      <c r="B16" t="s">
        <v>14</v>
      </c>
      <c r="C16">
        <v>660</v>
      </c>
      <c r="D16">
        <v>0.33504548159999997</v>
      </c>
      <c r="E16">
        <f>VLOOKUP(B16,[1]Bernardino_Heuristic!$H:$I,2,FALSE)</f>
        <v>665</v>
      </c>
      <c r="F16" s="4">
        <f t="shared" si="0"/>
        <v>-7.575757575757569E-3</v>
      </c>
    </row>
    <row r="17" spans="1:6" hidden="1" x14ac:dyDescent="0.25">
      <c r="A17">
        <v>500</v>
      </c>
      <c r="B17" t="s">
        <v>15</v>
      </c>
      <c r="C17">
        <v>709</v>
      </c>
      <c r="D17">
        <v>0.50027498560000006</v>
      </c>
      <c r="E17">
        <f>VLOOKUP(B17,[1]Bernardino_Heuristic!$H:$I,2,FALSE)</f>
        <v>709</v>
      </c>
      <c r="F17" s="4">
        <f t="shared" si="0"/>
        <v>0</v>
      </c>
    </row>
    <row r="18" spans="1:6" hidden="1" x14ac:dyDescent="0.25">
      <c r="A18">
        <v>500</v>
      </c>
      <c r="B18" t="s">
        <v>16</v>
      </c>
      <c r="C18">
        <v>761.2</v>
      </c>
      <c r="D18">
        <v>0.32094114779999999</v>
      </c>
      <c r="E18">
        <f>VLOOKUP(B18,[1]Bernardino_Heuristic!$H:$I,2,FALSE)</f>
        <v>761</v>
      </c>
      <c r="F18" s="4">
        <f t="shared" si="0"/>
        <v>2.6274303730955406E-4</v>
      </c>
    </row>
    <row r="19" spans="1:6" hidden="1" x14ac:dyDescent="0.25">
      <c r="A19">
        <v>500</v>
      </c>
      <c r="B19" t="s">
        <v>17</v>
      </c>
      <c r="C19">
        <v>854.6</v>
      </c>
      <c r="D19">
        <v>0.56285611140000003</v>
      </c>
      <c r="E19">
        <f>VLOOKUP(B19,[1]Bernardino_Heuristic!$H:$I,2,FALSE)</f>
        <v>853</v>
      </c>
      <c r="F19" s="4">
        <f t="shared" si="0"/>
        <v>1.8722209220688457E-3</v>
      </c>
    </row>
    <row r="20" spans="1:6" hidden="1" x14ac:dyDescent="0.25">
      <c r="A20">
        <v>500</v>
      </c>
      <c r="B20" t="s">
        <v>18</v>
      </c>
      <c r="C20">
        <v>938</v>
      </c>
      <c r="D20">
        <v>0.63330387939999999</v>
      </c>
      <c r="E20">
        <f>VLOOKUP(B20,[1]Bernardino_Heuristic!$H:$I,2,FALSE)</f>
        <v>938</v>
      </c>
      <c r="F20" s="4">
        <f t="shared" si="0"/>
        <v>0</v>
      </c>
    </row>
    <row r="21" spans="1:6" hidden="1" x14ac:dyDescent="0.25">
      <c r="A21">
        <v>500</v>
      </c>
      <c r="B21" t="s">
        <v>19</v>
      </c>
      <c r="C21">
        <v>994</v>
      </c>
      <c r="D21">
        <v>0.40683780980000001</v>
      </c>
      <c r="E21">
        <f>VLOOKUP(B21,[1]Bernardino_Heuristic!$H:$I,2,FALSE)</f>
        <v>995</v>
      </c>
      <c r="F21" s="4">
        <f t="shared" si="0"/>
        <v>-1.006036217303885E-3</v>
      </c>
    </row>
    <row r="22" spans="1:6" hidden="1" x14ac:dyDescent="0.25">
      <c r="A22">
        <v>500</v>
      </c>
      <c r="B22" t="s">
        <v>20</v>
      </c>
      <c r="C22">
        <v>215</v>
      </c>
      <c r="D22">
        <v>0.16566056700000001</v>
      </c>
      <c r="E22">
        <f>VLOOKUP(B22,[1]Bernardino_Heuristic!$H:$I,2,FALSE)</f>
        <v>215</v>
      </c>
      <c r="F22" s="4">
        <f t="shared" si="0"/>
        <v>0</v>
      </c>
    </row>
    <row r="23" spans="1:6" hidden="1" x14ac:dyDescent="0.25">
      <c r="A23">
        <v>500</v>
      </c>
      <c r="B23" t="s">
        <v>21</v>
      </c>
      <c r="C23">
        <v>308</v>
      </c>
      <c r="D23">
        <v>0.15222612899999999</v>
      </c>
      <c r="E23">
        <f>VLOOKUP(B23,[1]Bernardino_Heuristic!$H:$I,2,FALSE)</f>
        <v>308</v>
      </c>
      <c r="F23" s="4">
        <f t="shared" si="0"/>
        <v>0</v>
      </c>
    </row>
    <row r="24" spans="1:6" hidden="1" x14ac:dyDescent="0.25">
      <c r="A24">
        <v>500</v>
      </c>
      <c r="B24" t="s">
        <v>22</v>
      </c>
      <c r="C24">
        <v>319</v>
      </c>
      <c r="D24">
        <v>0.39374675859999902</v>
      </c>
      <c r="E24">
        <f>VLOOKUP(B24,[1]Bernardino_Heuristic!$H:$I,2,FALSE)</f>
        <v>321</v>
      </c>
      <c r="F24" s="4">
        <f t="shared" si="0"/>
        <v>-6.2695924764890609E-3</v>
      </c>
    </row>
    <row r="25" spans="1:6" hidden="1" x14ac:dyDescent="0.25">
      <c r="A25">
        <v>500</v>
      </c>
      <c r="B25" t="s">
        <v>23</v>
      </c>
      <c r="C25">
        <v>257.2</v>
      </c>
      <c r="D25">
        <v>0.1918916738</v>
      </c>
      <c r="E25">
        <f>VLOOKUP(B25,[1]Bernardino_Heuristic!$H:$I,2,FALSE)</f>
        <v>257</v>
      </c>
      <c r="F25" s="4">
        <f t="shared" si="0"/>
        <v>7.776049766717863E-4</v>
      </c>
    </row>
    <row r="26" spans="1:6" hidden="1" x14ac:dyDescent="0.25">
      <c r="A26">
        <v>500</v>
      </c>
      <c r="B26" t="s">
        <v>24</v>
      </c>
      <c r="C26">
        <v>391</v>
      </c>
      <c r="D26">
        <v>0.3091381292</v>
      </c>
      <c r="E26">
        <f>VLOOKUP(B26,[1]Bernardino_Heuristic!$H:$I,2,FALSE)</f>
        <v>391</v>
      </c>
      <c r="F26" s="4">
        <f t="shared" si="0"/>
        <v>0</v>
      </c>
    </row>
    <row r="27" spans="1:6" hidden="1" x14ac:dyDescent="0.25">
      <c r="A27">
        <v>500</v>
      </c>
      <c r="B27" t="s">
        <v>25</v>
      </c>
      <c r="C27">
        <v>473.8</v>
      </c>
      <c r="D27">
        <v>0.30896489459999998</v>
      </c>
      <c r="E27">
        <f>VLOOKUP(B27,[1]Bernardino_Heuristic!$H:$I,2,FALSE)</f>
        <v>476</v>
      </c>
      <c r="F27" s="4">
        <f t="shared" si="0"/>
        <v>-4.6433094132545261E-3</v>
      </c>
    </row>
    <row r="28" spans="1:6" hidden="1" x14ac:dyDescent="0.25">
      <c r="A28">
        <v>500</v>
      </c>
      <c r="B28" t="s">
        <v>26</v>
      </c>
      <c r="C28">
        <v>487.2</v>
      </c>
      <c r="D28">
        <v>0.3207210452</v>
      </c>
      <c r="E28">
        <f>VLOOKUP(B28,[1]Bernardino_Heuristic!$H:$I,2,FALSE)</f>
        <v>480</v>
      </c>
      <c r="F28" s="4">
        <f t="shared" si="0"/>
        <v>1.4778325123152691E-2</v>
      </c>
    </row>
    <row r="29" spans="1:6" hidden="1" x14ac:dyDescent="0.25">
      <c r="A29">
        <v>500</v>
      </c>
      <c r="B29" t="s">
        <v>27</v>
      </c>
      <c r="C29">
        <v>377</v>
      </c>
      <c r="D29">
        <v>0.1911955578</v>
      </c>
      <c r="E29">
        <f>VLOOKUP(B29,[1]Bernardino_Heuristic!$H:$I,2,FALSE)</f>
        <v>377</v>
      </c>
      <c r="F29" s="4">
        <f t="shared" si="0"/>
        <v>0</v>
      </c>
    </row>
    <row r="30" spans="1:6" hidden="1" x14ac:dyDescent="0.25">
      <c r="A30">
        <v>500</v>
      </c>
      <c r="B30" t="s">
        <v>28</v>
      </c>
      <c r="C30">
        <v>474</v>
      </c>
      <c r="D30">
        <v>0.3887656156</v>
      </c>
      <c r="E30">
        <f>VLOOKUP(B30,[1]Bernardino_Heuristic!$H:$I,2,FALSE)</f>
        <v>474</v>
      </c>
      <c r="F30" s="4">
        <f t="shared" si="0"/>
        <v>0</v>
      </c>
    </row>
    <row r="31" spans="1:6" hidden="1" x14ac:dyDescent="0.25">
      <c r="A31">
        <v>500</v>
      </c>
      <c r="B31" t="s">
        <v>29</v>
      </c>
      <c r="C31">
        <v>488.4</v>
      </c>
      <c r="D31">
        <v>0.24134534499999999</v>
      </c>
      <c r="E31">
        <f>VLOOKUP(B31,[1]Bernardino_Heuristic!$H:$I,2,FALSE)</f>
        <v>489</v>
      </c>
      <c r="F31" s="4">
        <f t="shared" si="0"/>
        <v>-1.2285012285013774E-3</v>
      </c>
    </row>
    <row r="32" spans="1:6" hidden="1" x14ac:dyDescent="0.25">
      <c r="A32">
        <v>500</v>
      </c>
      <c r="B32" t="s">
        <v>30</v>
      </c>
      <c r="C32">
        <v>545.20000000000005</v>
      </c>
      <c r="D32">
        <v>0.38276675360000001</v>
      </c>
      <c r="E32">
        <f>VLOOKUP(B32,[1]Bernardino_Heuristic!$H:$I,2,FALSE)</f>
        <v>548</v>
      </c>
      <c r="F32" s="4">
        <f t="shared" si="0"/>
        <v>-5.1357300073366918E-3</v>
      </c>
    </row>
    <row r="33" spans="1:6" hidden="1" x14ac:dyDescent="0.25">
      <c r="A33">
        <v>500</v>
      </c>
      <c r="B33" t="s">
        <v>31</v>
      </c>
      <c r="C33">
        <v>583</v>
      </c>
      <c r="D33">
        <v>0.326651200999999</v>
      </c>
      <c r="E33">
        <f>VLOOKUP(B33,[1]Bernardino_Heuristic!$H:$I,2,FALSE)</f>
        <v>583</v>
      </c>
      <c r="F33" s="4">
        <f t="shared" si="0"/>
        <v>0</v>
      </c>
    </row>
    <row r="34" spans="1:6" hidden="1" x14ac:dyDescent="0.25">
      <c r="A34">
        <v>500</v>
      </c>
      <c r="B34" t="s">
        <v>32</v>
      </c>
      <c r="C34">
        <v>397</v>
      </c>
      <c r="D34">
        <v>0.49012110660000002</v>
      </c>
      <c r="E34">
        <f>VLOOKUP(B34,[1]Bernardino_Heuristic!$H:$I,2,FALSE)</f>
        <v>397</v>
      </c>
      <c r="F34" s="4">
        <f t="shared" si="0"/>
        <v>0</v>
      </c>
    </row>
    <row r="35" spans="1:6" hidden="1" x14ac:dyDescent="0.25">
      <c r="A35">
        <v>500</v>
      </c>
      <c r="B35" t="s">
        <v>33</v>
      </c>
      <c r="C35">
        <v>662.2</v>
      </c>
      <c r="D35">
        <v>0.63370428199999995</v>
      </c>
      <c r="E35">
        <f>VLOOKUP(B35,[1]Bernardino_Heuristic!$H:$I,2,FALSE)</f>
        <v>665</v>
      </c>
      <c r="F35" s="4">
        <f t="shared" si="0"/>
        <v>-4.2283298097249844E-3</v>
      </c>
    </row>
    <row r="36" spans="1:6" hidden="1" x14ac:dyDescent="0.25">
      <c r="A36">
        <v>500</v>
      </c>
      <c r="B36" t="s">
        <v>34</v>
      </c>
      <c r="C36">
        <v>607.20000000000005</v>
      </c>
      <c r="D36">
        <v>0.30543278679999902</v>
      </c>
      <c r="E36">
        <f>VLOOKUP(B36,[1]Bernardino_Heuristic!$H:$I,2,FALSE)</f>
        <v>613</v>
      </c>
      <c r="F36" s="4">
        <f t="shared" si="0"/>
        <v>-9.5520421607377948E-3</v>
      </c>
    </row>
    <row r="37" spans="1:6" hidden="1" x14ac:dyDescent="0.25">
      <c r="A37">
        <v>500</v>
      </c>
      <c r="B37" t="s">
        <v>35</v>
      </c>
      <c r="C37">
        <v>617.6</v>
      </c>
      <c r="D37">
        <v>0.38134002340000001</v>
      </c>
      <c r="E37">
        <f>VLOOKUP(B37,[1]Bernardino_Heuristic!$H:$I,2,FALSE)</f>
        <v>627</v>
      </c>
      <c r="F37" s="4">
        <f t="shared" si="0"/>
        <v>-1.5220207253886064E-2</v>
      </c>
    </row>
    <row r="38" spans="1:6" hidden="1" x14ac:dyDescent="0.25">
      <c r="A38">
        <v>1000</v>
      </c>
      <c r="B38" t="s">
        <v>0</v>
      </c>
      <c r="C38">
        <v>330</v>
      </c>
      <c r="D38">
        <v>1.32283786299999</v>
      </c>
      <c r="E38">
        <f>VLOOKUP(B38,[1]Bernardino_Heuristic!$H:$I,2,FALSE)</f>
        <v>339</v>
      </c>
      <c r="F38" s="4">
        <f t="shared" si="0"/>
        <v>-2.7272727272727337E-2</v>
      </c>
    </row>
    <row r="39" spans="1:6" hidden="1" x14ac:dyDescent="0.25">
      <c r="A39">
        <v>1000</v>
      </c>
      <c r="B39" t="s">
        <v>1</v>
      </c>
      <c r="C39">
        <v>198</v>
      </c>
      <c r="D39">
        <v>0.66219522379999995</v>
      </c>
      <c r="E39">
        <f>VLOOKUP(B39,[1]Bernardino_Heuristic!$H:$I,2,FALSE)</f>
        <v>208</v>
      </c>
      <c r="F39" s="4">
        <f t="shared" si="0"/>
        <v>-5.0505050505050608E-2</v>
      </c>
    </row>
    <row r="40" spans="1:6" hidden="1" x14ac:dyDescent="0.25">
      <c r="A40">
        <v>1000</v>
      </c>
      <c r="B40" t="s">
        <v>2</v>
      </c>
      <c r="C40">
        <v>334.4</v>
      </c>
      <c r="D40">
        <v>1.2245706461999999</v>
      </c>
      <c r="E40">
        <f>VLOOKUP(B40,[1]Bernardino_Heuristic!$H:$I,2,FALSE)</f>
        <v>350</v>
      </c>
      <c r="F40" s="4">
        <f t="shared" si="0"/>
        <v>-4.6650717703349276E-2</v>
      </c>
    </row>
    <row r="41" spans="1:6" hidden="1" x14ac:dyDescent="0.25">
      <c r="A41">
        <v>1000</v>
      </c>
      <c r="B41" t="s">
        <v>3</v>
      </c>
      <c r="C41">
        <v>524.4</v>
      </c>
      <c r="D41">
        <v>4.1276600095999996</v>
      </c>
      <c r="E41">
        <f>VLOOKUP(B41,[1]Bernardino_Heuristic!$H:$I,2,FALSE)</f>
        <v>549</v>
      </c>
      <c r="F41" s="4">
        <f t="shared" si="0"/>
        <v>-4.6910755148741545E-2</v>
      </c>
    </row>
    <row r="42" spans="1:6" hidden="1" x14ac:dyDescent="0.25">
      <c r="A42">
        <v>1000</v>
      </c>
      <c r="B42" t="s">
        <v>4</v>
      </c>
      <c r="C42">
        <v>471.8</v>
      </c>
      <c r="D42">
        <v>4.6937975378000001</v>
      </c>
      <c r="E42">
        <f>VLOOKUP(B42,[1]Bernardino_Heuristic!$H:$I,2,FALSE)</f>
        <v>499</v>
      </c>
      <c r="F42" s="4">
        <f t="shared" si="0"/>
        <v>-5.7651547265790581E-2</v>
      </c>
    </row>
    <row r="43" spans="1:6" hidden="1" x14ac:dyDescent="0.25">
      <c r="A43">
        <v>1000</v>
      </c>
      <c r="B43" t="s">
        <v>5</v>
      </c>
      <c r="C43">
        <v>437.6</v>
      </c>
      <c r="D43">
        <v>1.1533456547999901</v>
      </c>
      <c r="E43">
        <f>VLOOKUP(B43,[1]Bernardino_Heuristic!$H:$I,2,FALSE)</f>
        <v>453</v>
      </c>
      <c r="F43" s="4">
        <f t="shared" si="0"/>
        <v>-3.5191956124314361E-2</v>
      </c>
    </row>
    <row r="44" spans="1:6" hidden="1" x14ac:dyDescent="0.25">
      <c r="A44">
        <v>1000</v>
      </c>
      <c r="B44" t="s">
        <v>6</v>
      </c>
      <c r="C44">
        <v>429.6</v>
      </c>
      <c r="D44">
        <v>1.2781375792</v>
      </c>
      <c r="E44">
        <f>VLOOKUP(B44,[1]Bernardino_Heuristic!$H:$I,2,FALSE)</f>
        <v>446</v>
      </c>
      <c r="F44" s="4">
        <f t="shared" si="0"/>
        <v>-3.8175046554934866E-2</v>
      </c>
    </row>
    <row r="45" spans="1:6" hidden="1" x14ac:dyDescent="0.25">
      <c r="A45">
        <v>1000</v>
      </c>
      <c r="B45" t="s">
        <v>7</v>
      </c>
      <c r="C45">
        <v>499</v>
      </c>
      <c r="D45">
        <v>1.4473081113999999</v>
      </c>
      <c r="E45">
        <f>VLOOKUP(B45,[1]Bernardino_Heuristic!$H:$I,2,FALSE)</f>
        <v>510</v>
      </c>
      <c r="F45" s="4">
        <f t="shared" si="0"/>
        <v>-2.2044088176352616E-2</v>
      </c>
    </row>
    <row r="46" spans="1:6" hidden="1" x14ac:dyDescent="0.25">
      <c r="A46">
        <v>1000</v>
      </c>
      <c r="B46" t="s">
        <v>8</v>
      </c>
      <c r="C46">
        <v>467.2</v>
      </c>
      <c r="D46">
        <v>1.1853548577999999</v>
      </c>
      <c r="E46">
        <f>VLOOKUP(B46,[1]Bernardino_Heuristic!$H:$I,2,FALSE)</f>
        <v>487</v>
      </c>
      <c r="F46" s="4">
        <f t="shared" si="0"/>
        <v>-4.2380136986301498E-2</v>
      </c>
    </row>
    <row r="47" spans="1:6" hidden="1" x14ac:dyDescent="0.25">
      <c r="A47">
        <v>1000</v>
      </c>
      <c r="B47" t="s">
        <v>9</v>
      </c>
      <c r="C47">
        <v>547</v>
      </c>
      <c r="D47">
        <v>1.4189846469999901</v>
      </c>
      <c r="E47">
        <f>VLOOKUP(B47,[1]Bernardino_Heuristic!$H:$I,2,FALSE)</f>
        <v>561</v>
      </c>
      <c r="F47" s="4">
        <f t="shared" si="0"/>
        <v>-2.5594149908592323E-2</v>
      </c>
    </row>
    <row r="48" spans="1:6" hidden="1" x14ac:dyDescent="0.25">
      <c r="A48">
        <v>1000</v>
      </c>
      <c r="B48" t="s">
        <v>10</v>
      </c>
      <c r="C48">
        <v>620</v>
      </c>
      <c r="D48">
        <v>2.4574560576</v>
      </c>
      <c r="E48">
        <f>VLOOKUP(B48,[1]Bernardino_Heuristic!$H:$I,2,FALSE)</f>
        <v>640</v>
      </c>
      <c r="F48" s="4">
        <f t="shared" si="0"/>
        <v>-3.2258064516129004E-2</v>
      </c>
    </row>
    <row r="49" spans="1:6" hidden="1" x14ac:dyDescent="0.25">
      <c r="A49">
        <v>1000</v>
      </c>
      <c r="B49" t="s">
        <v>11</v>
      </c>
      <c r="C49">
        <v>640.4</v>
      </c>
      <c r="D49">
        <v>2.3993255630000001</v>
      </c>
      <c r="E49">
        <f>VLOOKUP(B49,[1]Bernardino_Heuristic!$H:$I,2,FALSE)</f>
        <v>662</v>
      </c>
      <c r="F49" s="4">
        <f t="shared" si="0"/>
        <v>-3.3728919425359161E-2</v>
      </c>
    </row>
    <row r="50" spans="1:6" hidden="1" x14ac:dyDescent="0.25">
      <c r="A50">
        <v>1000</v>
      </c>
      <c r="B50" t="s">
        <v>12</v>
      </c>
      <c r="C50">
        <v>757</v>
      </c>
      <c r="D50">
        <v>0.99302412380000005</v>
      </c>
      <c r="E50">
        <f>VLOOKUP(B50,[1]Bernardino_Heuristic!$H:$I,2,FALSE)</f>
        <v>757</v>
      </c>
      <c r="F50" s="4">
        <f t="shared" si="0"/>
        <v>0</v>
      </c>
    </row>
    <row r="51" spans="1:6" hidden="1" x14ac:dyDescent="0.25">
      <c r="A51">
        <v>1000</v>
      </c>
      <c r="B51" t="s">
        <v>13</v>
      </c>
      <c r="C51">
        <v>693</v>
      </c>
      <c r="D51">
        <v>0.92643470159999997</v>
      </c>
      <c r="E51">
        <f>VLOOKUP(B51,[1]Bernardino_Heuristic!$H:$I,2,FALSE)</f>
        <v>693</v>
      </c>
      <c r="F51" s="4">
        <f t="shared" si="0"/>
        <v>0</v>
      </c>
    </row>
    <row r="52" spans="1:6" hidden="1" x14ac:dyDescent="0.25">
      <c r="A52">
        <v>1000</v>
      </c>
      <c r="B52" t="s">
        <v>14</v>
      </c>
      <c r="C52">
        <v>660</v>
      </c>
      <c r="D52">
        <v>0.76863649039999904</v>
      </c>
      <c r="E52">
        <f>VLOOKUP(B52,[1]Bernardino_Heuristic!$H:$I,2,FALSE)</f>
        <v>665</v>
      </c>
      <c r="F52" s="4">
        <f t="shared" si="0"/>
        <v>-7.575757575757569E-3</v>
      </c>
    </row>
    <row r="53" spans="1:6" hidden="1" x14ac:dyDescent="0.25">
      <c r="A53">
        <v>1000</v>
      </c>
      <c r="B53" t="s">
        <v>15</v>
      </c>
      <c r="C53">
        <v>709</v>
      </c>
      <c r="D53">
        <v>0.54021866439999999</v>
      </c>
      <c r="E53">
        <f>VLOOKUP(B53,[1]Bernardino_Heuristic!$H:$I,2,FALSE)</f>
        <v>709</v>
      </c>
      <c r="F53" s="4">
        <f t="shared" si="0"/>
        <v>0</v>
      </c>
    </row>
    <row r="54" spans="1:6" hidden="1" x14ac:dyDescent="0.25">
      <c r="A54">
        <v>1000</v>
      </c>
      <c r="B54" t="s">
        <v>16</v>
      </c>
      <c r="C54">
        <v>761</v>
      </c>
      <c r="D54">
        <v>0.63458910999999996</v>
      </c>
      <c r="E54">
        <f>VLOOKUP(B54,[1]Bernardino_Heuristic!$H:$I,2,FALSE)</f>
        <v>761</v>
      </c>
      <c r="F54" s="4">
        <f t="shared" si="0"/>
        <v>0</v>
      </c>
    </row>
    <row r="55" spans="1:6" hidden="1" x14ac:dyDescent="0.25">
      <c r="A55">
        <v>1000</v>
      </c>
      <c r="B55" t="s">
        <v>17</v>
      </c>
      <c r="C55">
        <v>853</v>
      </c>
      <c r="D55">
        <v>1.06017975459999</v>
      </c>
      <c r="E55">
        <f>VLOOKUP(B55,[1]Bernardino_Heuristic!$H:$I,2,FALSE)</f>
        <v>853</v>
      </c>
      <c r="F55" s="4">
        <f t="shared" si="0"/>
        <v>0</v>
      </c>
    </row>
    <row r="56" spans="1:6" hidden="1" x14ac:dyDescent="0.25">
      <c r="A56">
        <v>1000</v>
      </c>
      <c r="B56" t="s">
        <v>18</v>
      </c>
      <c r="C56">
        <v>938</v>
      </c>
      <c r="D56">
        <v>1.0623422495999999</v>
      </c>
      <c r="E56">
        <f>VLOOKUP(B56,[1]Bernardino_Heuristic!$H:$I,2,FALSE)</f>
        <v>938</v>
      </c>
      <c r="F56" s="4">
        <f t="shared" si="0"/>
        <v>0</v>
      </c>
    </row>
    <row r="57" spans="1:6" hidden="1" x14ac:dyDescent="0.25">
      <c r="A57">
        <v>1000</v>
      </c>
      <c r="B57" t="s">
        <v>19</v>
      </c>
      <c r="C57">
        <v>992.4</v>
      </c>
      <c r="D57">
        <v>0.85991453739999901</v>
      </c>
      <c r="E57">
        <f>VLOOKUP(B57,[1]Bernardino_Heuristic!$H:$I,2,FALSE)</f>
        <v>995</v>
      </c>
      <c r="F57" s="4">
        <f t="shared" si="0"/>
        <v>-2.6199113260783058E-3</v>
      </c>
    </row>
    <row r="58" spans="1:6" hidden="1" x14ac:dyDescent="0.25">
      <c r="A58">
        <v>1000</v>
      </c>
      <c r="B58" t="s">
        <v>20</v>
      </c>
      <c r="C58">
        <v>215</v>
      </c>
      <c r="D58">
        <v>0.30477684900000002</v>
      </c>
      <c r="E58">
        <f>VLOOKUP(B58,[1]Bernardino_Heuristic!$H:$I,2,FALSE)</f>
        <v>215</v>
      </c>
      <c r="F58" s="4">
        <f t="shared" si="0"/>
        <v>0</v>
      </c>
    </row>
    <row r="59" spans="1:6" hidden="1" x14ac:dyDescent="0.25">
      <c r="A59">
        <v>1000</v>
      </c>
      <c r="B59" t="s">
        <v>21</v>
      </c>
      <c r="C59">
        <v>308</v>
      </c>
      <c r="D59">
        <v>0.33967383499999998</v>
      </c>
      <c r="E59">
        <f>VLOOKUP(B59,[1]Bernardino_Heuristic!$H:$I,2,FALSE)</f>
        <v>308</v>
      </c>
      <c r="F59" s="4">
        <f t="shared" si="0"/>
        <v>0</v>
      </c>
    </row>
    <row r="60" spans="1:6" hidden="1" x14ac:dyDescent="0.25">
      <c r="A60">
        <v>1000</v>
      </c>
      <c r="B60" t="s">
        <v>22</v>
      </c>
      <c r="C60">
        <v>319</v>
      </c>
      <c r="D60">
        <v>0.67878270500000004</v>
      </c>
      <c r="E60">
        <f>VLOOKUP(B60,[1]Bernardino_Heuristic!$H:$I,2,FALSE)</f>
        <v>321</v>
      </c>
      <c r="F60" s="4">
        <f t="shared" si="0"/>
        <v>-6.2695924764890609E-3</v>
      </c>
    </row>
    <row r="61" spans="1:6" hidden="1" x14ac:dyDescent="0.25">
      <c r="A61">
        <v>1000</v>
      </c>
      <c r="B61" t="s">
        <v>23</v>
      </c>
      <c r="C61">
        <v>257</v>
      </c>
      <c r="D61">
        <v>0.34005158839999999</v>
      </c>
      <c r="E61">
        <f>VLOOKUP(B61,[1]Bernardino_Heuristic!$H:$I,2,FALSE)</f>
        <v>257</v>
      </c>
      <c r="F61" s="4">
        <f t="shared" si="0"/>
        <v>0</v>
      </c>
    </row>
    <row r="62" spans="1:6" hidden="1" x14ac:dyDescent="0.25">
      <c r="A62">
        <v>1000</v>
      </c>
      <c r="B62" t="s">
        <v>24</v>
      </c>
      <c r="C62">
        <v>391</v>
      </c>
      <c r="D62">
        <v>0.48612292099999999</v>
      </c>
      <c r="E62">
        <f>VLOOKUP(B62,[1]Bernardino_Heuristic!$H:$I,2,FALSE)</f>
        <v>391</v>
      </c>
      <c r="F62" s="4">
        <f t="shared" si="0"/>
        <v>0</v>
      </c>
    </row>
    <row r="63" spans="1:6" hidden="1" x14ac:dyDescent="0.25">
      <c r="A63">
        <v>1000</v>
      </c>
      <c r="B63" t="s">
        <v>25</v>
      </c>
      <c r="C63">
        <v>467.6</v>
      </c>
      <c r="D63">
        <v>0.58876891840000001</v>
      </c>
      <c r="E63">
        <f>VLOOKUP(B63,[1]Bernardino_Heuristic!$H:$I,2,FALSE)</f>
        <v>476</v>
      </c>
      <c r="F63" s="4">
        <f t="shared" si="0"/>
        <v>-1.7964071856287456E-2</v>
      </c>
    </row>
    <row r="64" spans="1:6" hidden="1" x14ac:dyDescent="0.25">
      <c r="A64">
        <v>1000</v>
      </c>
      <c r="B64" t="s">
        <v>26</v>
      </c>
      <c r="C64">
        <v>478</v>
      </c>
      <c r="D64">
        <v>0.66164666519999904</v>
      </c>
      <c r="E64">
        <f>VLOOKUP(B64,[1]Bernardino_Heuristic!$H:$I,2,FALSE)</f>
        <v>480</v>
      </c>
      <c r="F64" s="4">
        <f t="shared" si="0"/>
        <v>-4.1841004184099972E-3</v>
      </c>
    </row>
    <row r="65" spans="1:6" hidden="1" x14ac:dyDescent="0.25">
      <c r="A65">
        <v>1000</v>
      </c>
      <c r="B65" t="s">
        <v>27</v>
      </c>
      <c r="C65">
        <v>377</v>
      </c>
      <c r="D65">
        <v>0.32337478079999998</v>
      </c>
      <c r="E65">
        <f>VLOOKUP(B65,[1]Bernardino_Heuristic!$H:$I,2,FALSE)</f>
        <v>377</v>
      </c>
      <c r="F65" s="4">
        <f t="shared" si="0"/>
        <v>0</v>
      </c>
    </row>
    <row r="66" spans="1:6" hidden="1" x14ac:dyDescent="0.25">
      <c r="A66">
        <v>1000</v>
      </c>
      <c r="B66" t="s">
        <v>28</v>
      </c>
      <c r="C66">
        <v>474</v>
      </c>
      <c r="D66">
        <v>0.62762137120000006</v>
      </c>
      <c r="E66">
        <f>VLOOKUP(B66,[1]Bernardino_Heuristic!$H:$I,2,FALSE)</f>
        <v>474</v>
      </c>
      <c r="F66" s="4">
        <f t="shared" si="0"/>
        <v>0</v>
      </c>
    </row>
    <row r="67" spans="1:6" hidden="1" x14ac:dyDescent="0.25">
      <c r="A67">
        <v>1000</v>
      </c>
      <c r="B67" t="s">
        <v>29</v>
      </c>
      <c r="C67">
        <v>488</v>
      </c>
      <c r="D67">
        <v>0.49564831639999901</v>
      </c>
      <c r="E67">
        <f>VLOOKUP(B67,[1]Bernardino_Heuristic!$H:$I,2,FALSE)</f>
        <v>489</v>
      </c>
      <c r="F67" s="4">
        <f t="shared" ref="F67:F130" si="1">1-E67/C67</f>
        <v>-2.049180327868827E-3</v>
      </c>
    </row>
    <row r="68" spans="1:6" hidden="1" x14ac:dyDescent="0.25">
      <c r="A68">
        <v>1000</v>
      </c>
      <c r="B68" t="s">
        <v>30</v>
      </c>
      <c r="C68">
        <v>545.20000000000005</v>
      </c>
      <c r="D68">
        <v>0.71665711459999903</v>
      </c>
      <c r="E68">
        <f>VLOOKUP(B68,[1]Bernardino_Heuristic!$H:$I,2,FALSE)</f>
        <v>548</v>
      </c>
      <c r="F68" s="4">
        <f t="shared" si="1"/>
        <v>-5.1357300073366918E-3</v>
      </c>
    </row>
    <row r="69" spans="1:6" hidden="1" x14ac:dyDescent="0.25">
      <c r="A69">
        <v>1000</v>
      </c>
      <c r="B69" t="s">
        <v>31</v>
      </c>
      <c r="C69">
        <v>583</v>
      </c>
      <c r="D69">
        <v>0.56501036059999998</v>
      </c>
      <c r="E69">
        <f>VLOOKUP(B69,[1]Bernardino_Heuristic!$H:$I,2,FALSE)</f>
        <v>583</v>
      </c>
      <c r="F69" s="4">
        <f t="shared" si="1"/>
        <v>0</v>
      </c>
    </row>
    <row r="70" spans="1:6" hidden="1" x14ac:dyDescent="0.25">
      <c r="A70">
        <v>1000</v>
      </c>
      <c r="B70" t="s">
        <v>32</v>
      </c>
      <c r="C70">
        <v>397</v>
      </c>
      <c r="D70">
        <v>0.64785518320000002</v>
      </c>
      <c r="E70">
        <f>VLOOKUP(B70,[1]Bernardino_Heuristic!$H:$I,2,FALSE)</f>
        <v>397</v>
      </c>
      <c r="F70" s="4">
        <f t="shared" si="1"/>
        <v>0</v>
      </c>
    </row>
    <row r="71" spans="1:6" hidden="1" x14ac:dyDescent="0.25">
      <c r="A71">
        <v>1000</v>
      </c>
      <c r="B71" t="s">
        <v>33</v>
      </c>
      <c r="C71">
        <v>658.4</v>
      </c>
      <c r="D71">
        <v>1.0769434849999999</v>
      </c>
      <c r="E71">
        <f>VLOOKUP(B71,[1]Bernardino_Heuristic!$H:$I,2,FALSE)</f>
        <v>665</v>
      </c>
      <c r="F71" s="4">
        <f t="shared" si="1"/>
        <v>-1.0024301336573505E-2</v>
      </c>
    </row>
    <row r="72" spans="1:6" hidden="1" x14ac:dyDescent="0.25">
      <c r="A72">
        <v>1000</v>
      </c>
      <c r="B72" t="s">
        <v>34</v>
      </c>
      <c r="C72">
        <v>606</v>
      </c>
      <c r="D72">
        <v>0.45563014159999998</v>
      </c>
      <c r="E72">
        <f>VLOOKUP(B72,[1]Bernardino_Heuristic!$H:$I,2,FALSE)</f>
        <v>613</v>
      </c>
      <c r="F72" s="4">
        <f t="shared" si="1"/>
        <v>-1.1551155115511635E-2</v>
      </c>
    </row>
    <row r="73" spans="1:6" hidden="1" x14ac:dyDescent="0.25">
      <c r="A73">
        <v>1000</v>
      </c>
      <c r="B73" t="s">
        <v>35</v>
      </c>
      <c r="C73">
        <v>614</v>
      </c>
      <c r="D73">
        <v>0.4283625258</v>
      </c>
      <c r="E73">
        <f>VLOOKUP(B73,[1]Bernardino_Heuristic!$H:$I,2,FALSE)</f>
        <v>627</v>
      </c>
      <c r="F73" s="4">
        <f t="shared" si="1"/>
        <v>-2.1172638436482094E-2</v>
      </c>
    </row>
    <row r="74" spans="1:6" hidden="1" x14ac:dyDescent="0.25">
      <c r="A74">
        <v>2000</v>
      </c>
      <c r="B74" t="s">
        <v>0</v>
      </c>
      <c r="C74">
        <v>328.6</v>
      </c>
      <c r="D74">
        <v>2.3576924972</v>
      </c>
      <c r="E74">
        <f>VLOOKUP(B74,[1]Bernardino_Heuristic!$H:$I,2,FALSE)</f>
        <v>339</v>
      </c>
      <c r="F74" s="4">
        <f t="shared" si="1"/>
        <v>-3.1649421789409438E-2</v>
      </c>
    </row>
    <row r="75" spans="1:6" hidden="1" x14ac:dyDescent="0.25">
      <c r="A75">
        <v>2000</v>
      </c>
      <c r="B75" t="s">
        <v>1</v>
      </c>
      <c r="C75">
        <v>198</v>
      </c>
      <c r="D75">
        <v>0.94763871820000001</v>
      </c>
      <c r="E75">
        <f>VLOOKUP(B75,[1]Bernardino_Heuristic!$H:$I,2,FALSE)</f>
        <v>208</v>
      </c>
      <c r="F75" s="4">
        <f t="shared" si="1"/>
        <v>-5.0505050505050608E-2</v>
      </c>
    </row>
    <row r="76" spans="1:6" hidden="1" x14ac:dyDescent="0.25">
      <c r="A76">
        <v>2000</v>
      </c>
      <c r="B76" t="s">
        <v>2</v>
      </c>
      <c r="C76">
        <v>334.2</v>
      </c>
      <c r="D76">
        <v>1.0920724939999999</v>
      </c>
      <c r="E76">
        <f>VLOOKUP(B76,[1]Bernardino_Heuristic!$H:$I,2,FALSE)</f>
        <v>350</v>
      </c>
      <c r="F76" s="4">
        <f t="shared" si="1"/>
        <v>-4.7277079593058158E-2</v>
      </c>
    </row>
    <row r="77" spans="1:6" hidden="1" x14ac:dyDescent="0.25">
      <c r="A77">
        <v>2000</v>
      </c>
      <c r="B77" t="s">
        <v>3</v>
      </c>
      <c r="C77">
        <v>520.4</v>
      </c>
      <c r="D77">
        <v>7.1625153482000004</v>
      </c>
      <c r="E77">
        <f>VLOOKUP(B77,[1]Bernardino_Heuristic!$H:$I,2,FALSE)</f>
        <v>549</v>
      </c>
      <c r="F77" s="4">
        <f t="shared" si="1"/>
        <v>-5.4957724827056076E-2</v>
      </c>
    </row>
    <row r="78" spans="1:6" hidden="1" x14ac:dyDescent="0.25">
      <c r="A78">
        <v>2000</v>
      </c>
      <c r="B78" t="s">
        <v>4</v>
      </c>
      <c r="C78">
        <v>471.4</v>
      </c>
      <c r="D78">
        <v>5.4494652042</v>
      </c>
      <c r="E78">
        <f>VLOOKUP(B78,[1]Bernardino_Heuristic!$H:$I,2,FALSE)</f>
        <v>499</v>
      </c>
      <c r="F78" s="4">
        <f t="shared" si="1"/>
        <v>-5.8549002969876973E-2</v>
      </c>
    </row>
    <row r="79" spans="1:6" hidden="1" x14ac:dyDescent="0.25">
      <c r="A79">
        <v>2000</v>
      </c>
      <c r="B79" t="s">
        <v>5</v>
      </c>
      <c r="C79">
        <v>437</v>
      </c>
      <c r="D79">
        <v>2.6150531886000001</v>
      </c>
      <c r="E79">
        <f>VLOOKUP(B79,[1]Bernardino_Heuristic!$H:$I,2,FALSE)</f>
        <v>453</v>
      </c>
      <c r="F79" s="4">
        <f t="shared" si="1"/>
        <v>-3.6613272311212919E-2</v>
      </c>
    </row>
    <row r="80" spans="1:6" hidden="1" x14ac:dyDescent="0.25">
      <c r="A80">
        <v>2000</v>
      </c>
      <c r="B80" t="s">
        <v>6</v>
      </c>
      <c r="C80">
        <v>426.2</v>
      </c>
      <c r="D80">
        <v>2.4868644835999998</v>
      </c>
      <c r="E80">
        <f>VLOOKUP(B80,[1]Bernardino_Heuristic!$H:$I,2,FALSE)</f>
        <v>446</v>
      </c>
      <c r="F80" s="4">
        <f t="shared" si="1"/>
        <v>-4.6457062412013084E-2</v>
      </c>
    </row>
    <row r="81" spans="1:6" hidden="1" x14ac:dyDescent="0.25">
      <c r="A81">
        <v>2000</v>
      </c>
      <c r="B81" t="s">
        <v>7</v>
      </c>
      <c r="C81">
        <v>497.2</v>
      </c>
      <c r="D81">
        <v>2.8038082096000001</v>
      </c>
      <c r="E81">
        <f>VLOOKUP(B81,[1]Bernardino_Heuristic!$H:$I,2,FALSE)</f>
        <v>510</v>
      </c>
      <c r="F81" s="4">
        <f t="shared" si="1"/>
        <v>-2.5744167337087731E-2</v>
      </c>
    </row>
    <row r="82" spans="1:6" hidden="1" x14ac:dyDescent="0.25">
      <c r="A82">
        <v>2000</v>
      </c>
      <c r="B82" t="s">
        <v>8</v>
      </c>
      <c r="C82">
        <v>466.6</v>
      </c>
      <c r="D82">
        <v>2.31961797899999</v>
      </c>
      <c r="E82">
        <f>VLOOKUP(B82,[1]Bernardino_Heuristic!$H:$I,2,FALSE)</f>
        <v>487</v>
      </c>
      <c r="F82" s="4">
        <f t="shared" si="1"/>
        <v>-4.3720531504500615E-2</v>
      </c>
    </row>
    <row r="83" spans="1:6" hidden="1" x14ac:dyDescent="0.25">
      <c r="A83">
        <v>2000</v>
      </c>
      <c r="B83" t="s">
        <v>9</v>
      </c>
      <c r="C83">
        <v>546.79999999999995</v>
      </c>
      <c r="D83">
        <v>2.4220776225999998</v>
      </c>
      <c r="E83">
        <f>VLOOKUP(B83,[1]Bernardino_Heuristic!$H:$I,2,FALSE)</f>
        <v>561</v>
      </c>
      <c r="F83" s="4">
        <f t="shared" si="1"/>
        <v>-2.5969275786393631E-2</v>
      </c>
    </row>
    <row r="84" spans="1:6" hidden="1" x14ac:dyDescent="0.25">
      <c r="A84">
        <v>2000</v>
      </c>
      <c r="B84" t="s">
        <v>10</v>
      </c>
      <c r="C84">
        <v>623</v>
      </c>
      <c r="D84">
        <v>3.7650524731999999</v>
      </c>
      <c r="E84">
        <f>VLOOKUP(B84,[1]Bernardino_Heuristic!$H:$I,2,FALSE)</f>
        <v>640</v>
      </c>
      <c r="F84" s="4">
        <f t="shared" si="1"/>
        <v>-2.7287319422150791E-2</v>
      </c>
    </row>
    <row r="85" spans="1:6" hidden="1" x14ac:dyDescent="0.25">
      <c r="A85">
        <v>2000</v>
      </c>
      <c r="B85" t="s">
        <v>11</v>
      </c>
      <c r="C85">
        <v>641.20000000000005</v>
      </c>
      <c r="D85">
        <v>4.8022211225999998</v>
      </c>
      <c r="E85">
        <f>VLOOKUP(B85,[1]Bernardino_Heuristic!$H:$I,2,FALSE)</f>
        <v>662</v>
      </c>
      <c r="F85" s="4">
        <f t="shared" si="1"/>
        <v>-3.2439176543979986E-2</v>
      </c>
    </row>
    <row r="86" spans="1:6" hidden="1" x14ac:dyDescent="0.25">
      <c r="A86">
        <v>2000</v>
      </c>
      <c r="B86" t="s">
        <v>12</v>
      </c>
      <c r="C86">
        <v>756</v>
      </c>
      <c r="D86">
        <v>1.7338065687999999</v>
      </c>
      <c r="E86">
        <f>VLOOKUP(B86,[1]Bernardino_Heuristic!$H:$I,2,FALSE)</f>
        <v>757</v>
      </c>
      <c r="F86" s="4">
        <f t="shared" si="1"/>
        <v>-1.3227513227513921E-3</v>
      </c>
    </row>
    <row r="87" spans="1:6" hidden="1" x14ac:dyDescent="0.25">
      <c r="A87">
        <v>2000</v>
      </c>
      <c r="B87" t="s">
        <v>13</v>
      </c>
      <c r="C87">
        <v>693</v>
      </c>
      <c r="D87">
        <v>1.849794621</v>
      </c>
      <c r="E87">
        <f>VLOOKUP(B87,[1]Bernardino_Heuristic!$H:$I,2,FALSE)</f>
        <v>693</v>
      </c>
      <c r="F87" s="4">
        <f t="shared" si="1"/>
        <v>0</v>
      </c>
    </row>
    <row r="88" spans="1:6" hidden="1" x14ac:dyDescent="0.25">
      <c r="A88">
        <v>2000</v>
      </c>
      <c r="B88" t="s">
        <v>14</v>
      </c>
      <c r="C88">
        <v>660</v>
      </c>
      <c r="D88">
        <v>1.0380225614</v>
      </c>
      <c r="E88">
        <f>VLOOKUP(B88,[1]Bernardino_Heuristic!$H:$I,2,FALSE)</f>
        <v>665</v>
      </c>
      <c r="F88" s="4">
        <f t="shared" si="1"/>
        <v>-7.575757575757569E-3</v>
      </c>
    </row>
    <row r="89" spans="1:6" hidden="1" x14ac:dyDescent="0.25">
      <c r="A89">
        <v>2000</v>
      </c>
      <c r="B89" t="s">
        <v>15</v>
      </c>
      <c r="C89">
        <v>709</v>
      </c>
      <c r="D89">
        <v>1.1284677018</v>
      </c>
      <c r="E89">
        <f>VLOOKUP(B89,[1]Bernardino_Heuristic!$H:$I,2,FALSE)</f>
        <v>709</v>
      </c>
      <c r="F89" s="4">
        <f t="shared" si="1"/>
        <v>0</v>
      </c>
    </row>
    <row r="90" spans="1:6" hidden="1" x14ac:dyDescent="0.25">
      <c r="A90">
        <v>2000</v>
      </c>
      <c r="B90" t="s">
        <v>16</v>
      </c>
      <c r="C90">
        <v>761</v>
      </c>
      <c r="D90">
        <v>0.86051846759999995</v>
      </c>
      <c r="E90">
        <f>VLOOKUP(B90,[1]Bernardino_Heuristic!$H:$I,2,FALSE)</f>
        <v>761</v>
      </c>
      <c r="F90" s="4">
        <f t="shared" si="1"/>
        <v>0</v>
      </c>
    </row>
    <row r="91" spans="1:6" hidden="1" x14ac:dyDescent="0.25">
      <c r="A91">
        <v>2000</v>
      </c>
      <c r="B91" t="s">
        <v>17</v>
      </c>
      <c r="C91">
        <v>853</v>
      </c>
      <c r="D91">
        <v>1.6200529572</v>
      </c>
      <c r="E91">
        <f>VLOOKUP(B91,[1]Bernardino_Heuristic!$H:$I,2,FALSE)</f>
        <v>853</v>
      </c>
      <c r="F91" s="4">
        <f t="shared" si="1"/>
        <v>0</v>
      </c>
    </row>
    <row r="92" spans="1:6" hidden="1" x14ac:dyDescent="0.25">
      <c r="A92">
        <v>2000</v>
      </c>
      <c r="B92" t="s">
        <v>18</v>
      </c>
      <c r="C92">
        <v>938</v>
      </c>
      <c r="D92">
        <v>2.9067323616</v>
      </c>
      <c r="E92">
        <f>VLOOKUP(B92,[1]Bernardino_Heuristic!$H:$I,2,FALSE)</f>
        <v>938</v>
      </c>
      <c r="F92" s="4">
        <f t="shared" si="1"/>
        <v>0</v>
      </c>
    </row>
    <row r="93" spans="1:6" hidden="1" x14ac:dyDescent="0.25">
      <c r="A93">
        <v>2000</v>
      </c>
      <c r="B93" t="s">
        <v>19</v>
      </c>
      <c r="C93">
        <v>992.4</v>
      </c>
      <c r="D93">
        <v>2.0205342475999899</v>
      </c>
      <c r="E93">
        <f>VLOOKUP(B93,[1]Bernardino_Heuristic!$H:$I,2,FALSE)</f>
        <v>995</v>
      </c>
      <c r="F93" s="4">
        <f t="shared" si="1"/>
        <v>-2.6199113260783058E-3</v>
      </c>
    </row>
    <row r="94" spans="1:6" hidden="1" x14ac:dyDescent="0.25">
      <c r="A94">
        <v>2000</v>
      </c>
      <c r="B94" t="s">
        <v>20</v>
      </c>
      <c r="C94">
        <v>215</v>
      </c>
      <c r="D94">
        <v>0.53516309780000004</v>
      </c>
      <c r="E94">
        <f>VLOOKUP(B94,[1]Bernardino_Heuristic!$H:$I,2,FALSE)</f>
        <v>215</v>
      </c>
      <c r="F94" s="4">
        <f t="shared" si="1"/>
        <v>0</v>
      </c>
    </row>
    <row r="95" spans="1:6" hidden="1" x14ac:dyDescent="0.25">
      <c r="A95">
        <v>2000</v>
      </c>
      <c r="B95" t="s">
        <v>21</v>
      </c>
      <c r="C95">
        <v>308</v>
      </c>
      <c r="D95">
        <v>0.56882704979999998</v>
      </c>
      <c r="E95">
        <f>VLOOKUP(B95,[1]Bernardino_Heuristic!$H:$I,2,FALSE)</f>
        <v>308</v>
      </c>
      <c r="F95" s="4">
        <f t="shared" si="1"/>
        <v>0</v>
      </c>
    </row>
    <row r="96" spans="1:6" hidden="1" x14ac:dyDescent="0.25">
      <c r="A96">
        <v>2000</v>
      </c>
      <c r="B96" t="s">
        <v>22</v>
      </c>
      <c r="C96">
        <v>319</v>
      </c>
      <c r="D96">
        <v>1.2558840549999899</v>
      </c>
      <c r="E96">
        <f>VLOOKUP(B96,[1]Bernardino_Heuristic!$H:$I,2,FALSE)</f>
        <v>321</v>
      </c>
      <c r="F96" s="4">
        <f t="shared" si="1"/>
        <v>-6.2695924764890609E-3</v>
      </c>
    </row>
    <row r="97" spans="1:6" hidden="1" x14ac:dyDescent="0.25">
      <c r="A97">
        <v>2000</v>
      </c>
      <c r="B97" t="s">
        <v>23</v>
      </c>
      <c r="C97">
        <v>257</v>
      </c>
      <c r="D97">
        <v>0.707608235999999</v>
      </c>
      <c r="E97">
        <f>VLOOKUP(B97,[1]Bernardino_Heuristic!$H:$I,2,FALSE)</f>
        <v>257</v>
      </c>
      <c r="F97" s="4">
        <f t="shared" si="1"/>
        <v>0</v>
      </c>
    </row>
    <row r="98" spans="1:6" hidden="1" x14ac:dyDescent="0.25">
      <c r="A98">
        <v>2000</v>
      </c>
      <c r="B98" t="s">
        <v>24</v>
      </c>
      <c r="C98">
        <v>391</v>
      </c>
      <c r="D98">
        <v>0.98072952079999998</v>
      </c>
      <c r="E98">
        <f>VLOOKUP(B98,[1]Bernardino_Heuristic!$H:$I,2,FALSE)</f>
        <v>391</v>
      </c>
      <c r="F98" s="4">
        <f t="shared" si="1"/>
        <v>0</v>
      </c>
    </row>
    <row r="99" spans="1:6" hidden="1" x14ac:dyDescent="0.25">
      <c r="A99">
        <v>2000</v>
      </c>
      <c r="B99" t="s">
        <v>25</v>
      </c>
      <c r="C99">
        <v>467</v>
      </c>
      <c r="D99">
        <v>1.1763641389999999</v>
      </c>
      <c r="E99">
        <f>VLOOKUP(B99,[1]Bernardino_Heuristic!$H:$I,2,FALSE)</f>
        <v>476</v>
      </c>
      <c r="F99" s="4">
        <f t="shared" si="1"/>
        <v>-1.9271948608136968E-2</v>
      </c>
    </row>
    <row r="100" spans="1:6" hidden="1" x14ac:dyDescent="0.25">
      <c r="A100">
        <v>2000</v>
      </c>
      <c r="B100" t="s">
        <v>26</v>
      </c>
      <c r="C100">
        <v>474.8</v>
      </c>
      <c r="D100">
        <v>1.2370399688</v>
      </c>
      <c r="E100">
        <f>VLOOKUP(B100,[1]Bernardino_Heuristic!$H:$I,2,FALSE)</f>
        <v>480</v>
      </c>
      <c r="F100" s="4">
        <f t="shared" si="1"/>
        <v>-1.0951979780960297E-2</v>
      </c>
    </row>
    <row r="101" spans="1:6" hidden="1" x14ac:dyDescent="0.25">
      <c r="A101">
        <v>2000</v>
      </c>
      <c r="B101" t="s">
        <v>27</v>
      </c>
      <c r="C101">
        <v>377</v>
      </c>
      <c r="D101">
        <v>0.43724674660000001</v>
      </c>
      <c r="E101">
        <f>VLOOKUP(B101,[1]Bernardino_Heuristic!$H:$I,2,FALSE)</f>
        <v>377</v>
      </c>
      <c r="F101" s="4">
        <f t="shared" si="1"/>
        <v>0</v>
      </c>
    </row>
    <row r="102" spans="1:6" hidden="1" x14ac:dyDescent="0.25">
      <c r="A102">
        <v>2000</v>
      </c>
      <c r="B102" t="s">
        <v>28</v>
      </c>
      <c r="C102">
        <v>474</v>
      </c>
      <c r="D102">
        <v>1.3376256980000001</v>
      </c>
      <c r="E102">
        <f>VLOOKUP(B102,[1]Bernardino_Heuristic!$H:$I,2,FALSE)</f>
        <v>474</v>
      </c>
      <c r="F102" s="4">
        <f t="shared" si="1"/>
        <v>0</v>
      </c>
    </row>
    <row r="103" spans="1:6" hidden="1" x14ac:dyDescent="0.25">
      <c r="A103">
        <v>2000</v>
      </c>
      <c r="B103" t="s">
        <v>29</v>
      </c>
      <c r="C103">
        <v>488</v>
      </c>
      <c r="D103">
        <v>0.8230941732</v>
      </c>
      <c r="E103">
        <f>VLOOKUP(B103,[1]Bernardino_Heuristic!$H:$I,2,FALSE)</f>
        <v>489</v>
      </c>
      <c r="F103" s="4">
        <f t="shared" si="1"/>
        <v>-2.049180327868827E-3</v>
      </c>
    </row>
    <row r="104" spans="1:6" hidden="1" x14ac:dyDescent="0.25">
      <c r="A104">
        <v>2000</v>
      </c>
      <c r="B104" t="s">
        <v>30</v>
      </c>
      <c r="C104">
        <v>545</v>
      </c>
      <c r="D104">
        <v>1.0454901329999999</v>
      </c>
      <c r="E104">
        <f>VLOOKUP(B104,[1]Bernardino_Heuristic!$H:$I,2,FALSE)</f>
        <v>548</v>
      </c>
      <c r="F104" s="4">
        <f t="shared" si="1"/>
        <v>-5.5045871559633586E-3</v>
      </c>
    </row>
    <row r="105" spans="1:6" hidden="1" x14ac:dyDescent="0.25">
      <c r="A105">
        <v>2000</v>
      </c>
      <c r="B105" t="s">
        <v>31</v>
      </c>
      <c r="C105">
        <v>583</v>
      </c>
      <c r="D105">
        <v>1.012828005</v>
      </c>
      <c r="E105">
        <f>VLOOKUP(B105,[1]Bernardino_Heuristic!$H:$I,2,FALSE)</f>
        <v>583</v>
      </c>
      <c r="F105" s="4">
        <f t="shared" si="1"/>
        <v>0</v>
      </c>
    </row>
    <row r="106" spans="1:6" hidden="1" x14ac:dyDescent="0.25">
      <c r="A106">
        <v>2000</v>
      </c>
      <c r="B106" t="s">
        <v>32</v>
      </c>
      <c r="C106">
        <v>397</v>
      </c>
      <c r="D106">
        <v>1.3002057061999901</v>
      </c>
      <c r="E106">
        <f>VLOOKUP(B106,[1]Bernardino_Heuristic!$H:$I,2,FALSE)</f>
        <v>397</v>
      </c>
      <c r="F106" s="4">
        <f t="shared" si="1"/>
        <v>0</v>
      </c>
    </row>
    <row r="107" spans="1:6" hidden="1" x14ac:dyDescent="0.25">
      <c r="A107">
        <v>2000</v>
      </c>
      <c r="B107" t="s">
        <v>33</v>
      </c>
      <c r="C107">
        <v>658</v>
      </c>
      <c r="D107">
        <v>1.6962278369999999</v>
      </c>
      <c r="E107">
        <f>VLOOKUP(B107,[1]Bernardino_Heuristic!$H:$I,2,FALSE)</f>
        <v>665</v>
      </c>
      <c r="F107" s="4">
        <f t="shared" si="1"/>
        <v>-1.0638297872340496E-2</v>
      </c>
    </row>
    <row r="108" spans="1:6" hidden="1" x14ac:dyDescent="0.25">
      <c r="A108">
        <v>2000</v>
      </c>
      <c r="B108" t="s">
        <v>34</v>
      </c>
      <c r="C108">
        <v>606</v>
      </c>
      <c r="D108">
        <v>0.7184995824</v>
      </c>
      <c r="E108">
        <f>VLOOKUP(B108,[1]Bernardino_Heuristic!$H:$I,2,FALSE)</f>
        <v>613</v>
      </c>
      <c r="F108" s="4">
        <f t="shared" si="1"/>
        <v>-1.1551155115511635E-2</v>
      </c>
    </row>
    <row r="109" spans="1:6" hidden="1" x14ac:dyDescent="0.25">
      <c r="A109">
        <v>2000</v>
      </c>
      <c r="B109" t="s">
        <v>35</v>
      </c>
      <c r="C109">
        <v>614</v>
      </c>
      <c r="D109">
        <v>0.78946036320000001</v>
      </c>
      <c r="E109">
        <f>VLOOKUP(B109,[1]Bernardino_Heuristic!$H:$I,2,FALSE)</f>
        <v>627</v>
      </c>
      <c r="F109" s="4">
        <f t="shared" si="1"/>
        <v>-2.1172638436482094E-2</v>
      </c>
    </row>
    <row r="110" spans="1:6" x14ac:dyDescent="0.25">
      <c r="A110">
        <v>5000</v>
      </c>
      <c r="B110" t="s">
        <v>0</v>
      </c>
      <c r="C110">
        <v>328.2</v>
      </c>
      <c r="D110">
        <v>5.07161550759999</v>
      </c>
      <c r="E110">
        <f>VLOOKUP(B110,[1]Bernardino_Heuristic!$H:$I,2,FALSE)</f>
        <v>339</v>
      </c>
      <c r="F110" s="4">
        <f t="shared" si="1"/>
        <v>-3.2906764168190161E-2</v>
      </c>
    </row>
    <row r="111" spans="1:6" x14ac:dyDescent="0.25">
      <c r="A111">
        <v>5000</v>
      </c>
      <c r="B111" t="s">
        <v>1</v>
      </c>
      <c r="C111">
        <v>198</v>
      </c>
      <c r="D111">
        <v>2.2946934992000001</v>
      </c>
      <c r="E111">
        <f>VLOOKUP(B111,[1]Bernardino_Heuristic!$H:$I,2,FALSE)</f>
        <v>208</v>
      </c>
      <c r="F111" s="4">
        <f t="shared" si="1"/>
        <v>-5.0505050505050608E-2</v>
      </c>
    </row>
    <row r="112" spans="1:6" x14ac:dyDescent="0.25">
      <c r="A112">
        <v>5000</v>
      </c>
      <c r="B112" t="s">
        <v>2</v>
      </c>
      <c r="C112">
        <v>334</v>
      </c>
      <c r="D112">
        <v>2.5645434288</v>
      </c>
      <c r="E112">
        <f>VLOOKUP(B112,[1]Bernardino_Heuristic!$H:$I,2,FALSE)</f>
        <v>350</v>
      </c>
      <c r="F112" s="4">
        <f t="shared" si="1"/>
        <v>-4.7904191616766401E-2</v>
      </c>
    </row>
    <row r="113" spans="1:6" x14ac:dyDescent="0.25">
      <c r="A113">
        <v>5000</v>
      </c>
      <c r="B113" t="s">
        <v>3</v>
      </c>
      <c r="C113">
        <v>518.6</v>
      </c>
      <c r="D113">
        <v>13.763157167599999</v>
      </c>
      <c r="E113">
        <f>VLOOKUP(B113,[1]Bernardino_Heuristic!$H:$I,2,FALSE)</f>
        <v>549</v>
      </c>
      <c r="F113" s="4">
        <f t="shared" si="1"/>
        <v>-5.8619359814886085E-2</v>
      </c>
    </row>
    <row r="114" spans="1:6" x14ac:dyDescent="0.25">
      <c r="A114">
        <v>5000</v>
      </c>
      <c r="B114" t="s">
        <v>4</v>
      </c>
      <c r="C114">
        <v>471</v>
      </c>
      <c r="D114">
        <v>17.962987495</v>
      </c>
      <c r="E114">
        <f>VLOOKUP(B114,[1]Bernardino_Heuristic!$H:$I,2,FALSE)</f>
        <v>499</v>
      </c>
      <c r="F114" s="4">
        <f t="shared" si="1"/>
        <v>-5.9447983014861983E-2</v>
      </c>
    </row>
    <row r="115" spans="1:6" x14ac:dyDescent="0.25">
      <c r="A115">
        <v>5000</v>
      </c>
      <c r="B115" t="s">
        <v>5</v>
      </c>
      <c r="C115">
        <v>433</v>
      </c>
      <c r="D115">
        <v>5.1418310399999996</v>
      </c>
      <c r="E115">
        <f>VLOOKUP(B115,[1]Bernardino_Heuristic!$H:$I,2,FALSE)</f>
        <v>453</v>
      </c>
      <c r="F115" s="4">
        <f t="shared" si="1"/>
        <v>-4.6189376443418029E-2</v>
      </c>
    </row>
    <row r="116" spans="1:6" x14ac:dyDescent="0.25">
      <c r="A116">
        <v>5000</v>
      </c>
      <c r="B116" t="s">
        <v>6</v>
      </c>
      <c r="C116">
        <v>424.6</v>
      </c>
      <c r="D116">
        <v>7.8790792851999996</v>
      </c>
      <c r="E116">
        <f>VLOOKUP(B116,[1]Bernardino_Heuristic!$H:$I,2,FALSE)</f>
        <v>446</v>
      </c>
      <c r="F116" s="4">
        <f t="shared" si="1"/>
        <v>-5.0400376825247228E-2</v>
      </c>
    </row>
    <row r="117" spans="1:6" x14ac:dyDescent="0.25">
      <c r="A117">
        <v>5000</v>
      </c>
      <c r="B117" t="s">
        <v>7</v>
      </c>
      <c r="C117">
        <v>496.8</v>
      </c>
      <c r="D117">
        <v>5.5094236444</v>
      </c>
      <c r="E117">
        <f>VLOOKUP(B117,[1]Bernardino_Heuristic!$H:$I,2,FALSE)</f>
        <v>510</v>
      </c>
      <c r="F117" s="4">
        <f t="shared" si="1"/>
        <v>-2.657004830917864E-2</v>
      </c>
    </row>
    <row r="118" spans="1:6" x14ac:dyDescent="0.25">
      <c r="A118">
        <v>5000</v>
      </c>
      <c r="B118" t="s">
        <v>8</v>
      </c>
      <c r="C118">
        <v>466</v>
      </c>
      <c r="D118">
        <v>4.3996623399999999</v>
      </c>
      <c r="E118">
        <f>VLOOKUP(B118,[1]Bernardino_Heuristic!$H:$I,2,FALSE)</f>
        <v>487</v>
      </c>
      <c r="F118" s="4">
        <f t="shared" si="1"/>
        <v>-4.5064377682403345E-2</v>
      </c>
    </row>
    <row r="119" spans="1:6" x14ac:dyDescent="0.25">
      <c r="A119">
        <v>5000</v>
      </c>
      <c r="B119" t="s">
        <v>9</v>
      </c>
      <c r="C119">
        <v>543.79999999999995</v>
      </c>
      <c r="D119">
        <v>6.7972435021999997</v>
      </c>
      <c r="E119">
        <f>VLOOKUP(B119,[1]Bernardino_Heuristic!$H:$I,2,FALSE)</f>
        <v>561</v>
      </c>
      <c r="F119" s="4">
        <f t="shared" si="1"/>
        <v>-3.1629275468922469E-2</v>
      </c>
    </row>
    <row r="120" spans="1:6" x14ac:dyDescent="0.25">
      <c r="A120">
        <v>5000</v>
      </c>
      <c r="B120" t="s">
        <v>10</v>
      </c>
      <c r="C120">
        <v>616.20000000000005</v>
      </c>
      <c r="D120">
        <v>10.2129123348</v>
      </c>
      <c r="E120">
        <f>VLOOKUP(B120,[1]Bernardino_Heuristic!$H:$I,2,FALSE)</f>
        <v>640</v>
      </c>
      <c r="F120" s="4">
        <f t="shared" si="1"/>
        <v>-3.8623823433949989E-2</v>
      </c>
    </row>
    <row r="121" spans="1:6" x14ac:dyDescent="0.25">
      <c r="A121">
        <v>5000</v>
      </c>
      <c r="B121" t="s">
        <v>11</v>
      </c>
      <c r="C121">
        <v>638.6</v>
      </c>
      <c r="D121">
        <v>11.2824827294</v>
      </c>
      <c r="E121">
        <f>VLOOKUP(B121,[1]Bernardino_Heuristic!$H:$I,2,FALSE)</f>
        <v>662</v>
      </c>
      <c r="F121" s="4">
        <f t="shared" si="1"/>
        <v>-3.6642655809583369E-2</v>
      </c>
    </row>
    <row r="122" spans="1:6" x14ac:dyDescent="0.25">
      <c r="A122">
        <v>5000</v>
      </c>
      <c r="B122" t="s">
        <v>12</v>
      </c>
      <c r="C122">
        <v>756</v>
      </c>
      <c r="D122">
        <v>3.6555911967999899</v>
      </c>
      <c r="E122">
        <f>VLOOKUP(B122,[1]Bernardino_Heuristic!$H:$I,2,FALSE)</f>
        <v>757</v>
      </c>
      <c r="F122" s="4">
        <f t="shared" si="1"/>
        <v>-1.3227513227513921E-3</v>
      </c>
    </row>
    <row r="123" spans="1:6" x14ac:dyDescent="0.25">
      <c r="A123">
        <v>5000</v>
      </c>
      <c r="B123" t="s">
        <v>13</v>
      </c>
      <c r="C123">
        <v>693</v>
      </c>
      <c r="D123">
        <v>3.81062898019999</v>
      </c>
      <c r="E123">
        <f>VLOOKUP(B123,[1]Bernardino_Heuristic!$H:$I,2,FALSE)</f>
        <v>693</v>
      </c>
      <c r="F123" s="4">
        <f t="shared" si="1"/>
        <v>0</v>
      </c>
    </row>
    <row r="124" spans="1:6" x14ac:dyDescent="0.25">
      <c r="A124">
        <v>5000</v>
      </c>
      <c r="B124" t="s">
        <v>14</v>
      </c>
      <c r="C124">
        <v>660</v>
      </c>
      <c r="D124">
        <v>2.9194402182000001</v>
      </c>
      <c r="E124">
        <f>VLOOKUP(B124,[1]Bernardino_Heuristic!$H:$I,2,FALSE)</f>
        <v>665</v>
      </c>
      <c r="F124" s="4">
        <f t="shared" si="1"/>
        <v>-7.575757575757569E-3</v>
      </c>
    </row>
    <row r="125" spans="1:6" x14ac:dyDescent="0.25">
      <c r="A125">
        <v>5000</v>
      </c>
      <c r="B125" t="s">
        <v>15</v>
      </c>
      <c r="C125">
        <v>709</v>
      </c>
      <c r="D125">
        <v>2.36798993479999</v>
      </c>
      <c r="E125">
        <f>VLOOKUP(B125,[1]Bernardino_Heuristic!$H:$I,2,FALSE)</f>
        <v>709</v>
      </c>
      <c r="F125" s="4">
        <f t="shared" si="1"/>
        <v>0</v>
      </c>
    </row>
    <row r="126" spans="1:6" x14ac:dyDescent="0.25">
      <c r="A126">
        <v>5000</v>
      </c>
      <c r="B126" t="s">
        <v>16</v>
      </c>
      <c r="C126">
        <v>761</v>
      </c>
      <c r="D126">
        <v>2.304270405</v>
      </c>
      <c r="E126">
        <f>VLOOKUP(B126,[1]Bernardino_Heuristic!$H:$I,2,FALSE)</f>
        <v>761</v>
      </c>
      <c r="F126" s="4">
        <f t="shared" si="1"/>
        <v>0</v>
      </c>
    </row>
    <row r="127" spans="1:6" x14ac:dyDescent="0.25">
      <c r="A127">
        <v>5000</v>
      </c>
      <c r="B127" t="s">
        <v>17</v>
      </c>
      <c r="C127">
        <v>853</v>
      </c>
      <c r="D127">
        <v>3.4151116025999899</v>
      </c>
      <c r="E127">
        <f>VLOOKUP(B127,[1]Bernardino_Heuristic!$H:$I,2,FALSE)</f>
        <v>853</v>
      </c>
      <c r="F127" s="4">
        <f t="shared" si="1"/>
        <v>0</v>
      </c>
    </row>
    <row r="128" spans="1:6" x14ac:dyDescent="0.25">
      <c r="A128">
        <v>5000</v>
      </c>
      <c r="B128" t="s">
        <v>18</v>
      </c>
      <c r="C128">
        <v>938</v>
      </c>
      <c r="D128">
        <v>4.7341471168</v>
      </c>
      <c r="E128">
        <f>VLOOKUP(B128,[1]Bernardino_Heuristic!$H:$I,2,FALSE)</f>
        <v>938</v>
      </c>
      <c r="F128" s="4">
        <f t="shared" si="1"/>
        <v>0</v>
      </c>
    </row>
    <row r="129" spans="1:6" x14ac:dyDescent="0.25">
      <c r="A129">
        <v>5000</v>
      </c>
      <c r="B129" t="s">
        <v>19</v>
      </c>
      <c r="C129">
        <v>992</v>
      </c>
      <c r="D129">
        <v>3.0289828652000002</v>
      </c>
      <c r="E129">
        <f>VLOOKUP(B129,[1]Bernardino_Heuristic!$H:$I,2,FALSE)</f>
        <v>995</v>
      </c>
      <c r="F129" s="4">
        <f t="shared" si="1"/>
        <v>-3.0241935483870108E-3</v>
      </c>
    </row>
    <row r="130" spans="1:6" x14ac:dyDescent="0.25">
      <c r="A130">
        <v>5000</v>
      </c>
      <c r="B130" t="s">
        <v>20</v>
      </c>
      <c r="C130">
        <v>215</v>
      </c>
      <c r="D130">
        <v>1.213535367</v>
      </c>
      <c r="E130">
        <f>VLOOKUP(B130,[1]Bernardino_Heuristic!$H:$I,2,FALSE)</f>
        <v>215</v>
      </c>
      <c r="F130" s="4">
        <f t="shared" si="1"/>
        <v>0</v>
      </c>
    </row>
    <row r="131" spans="1:6" x14ac:dyDescent="0.25">
      <c r="A131">
        <v>5000</v>
      </c>
      <c r="B131" t="s">
        <v>21</v>
      </c>
      <c r="C131">
        <v>308</v>
      </c>
      <c r="D131">
        <v>1.1816000469999901</v>
      </c>
      <c r="E131">
        <f>VLOOKUP(B131,[1]Bernardino_Heuristic!$H:$I,2,FALSE)</f>
        <v>308</v>
      </c>
      <c r="F131" s="4">
        <f t="shared" ref="F131:F181" si="2">1-E131/C131</f>
        <v>0</v>
      </c>
    </row>
    <row r="132" spans="1:6" x14ac:dyDescent="0.25">
      <c r="A132">
        <v>5000</v>
      </c>
      <c r="B132" t="s">
        <v>22</v>
      </c>
      <c r="C132">
        <v>319</v>
      </c>
      <c r="D132">
        <v>3.1087631498000001</v>
      </c>
      <c r="E132">
        <f>VLOOKUP(B132,[1]Bernardino_Heuristic!$H:$I,2,FALSE)</f>
        <v>321</v>
      </c>
      <c r="F132" s="4">
        <f t="shared" si="2"/>
        <v>-6.2695924764890609E-3</v>
      </c>
    </row>
    <row r="133" spans="1:6" x14ac:dyDescent="0.25">
      <c r="A133">
        <v>5000</v>
      </c>
      <c r="B133" t="s">
        <v>23</v>
      </c>
      <c r="C133">
        <v>257</v>
      </c>
      <c r="D133">
        <v>1.3629709148</v>
      </c>
      <c r="E133">
        <f>VLOOKUP(B133,[1]Bernardino_Heuristic!$H:$I,2,FALSE)</f>
        <v>257</v>
      </c>
      <c r="F133" s="4">
        <f t="shared" si="2"/>
        <v>0</v>
      </c>
    </row>
    <row r="134" spans="1:6" x14ac:dyDescent="0.25">
      <c r="A134">
        <v>5000</v>
      </c>
      <c r="B134" t="s">
        <v>24</v>
      </c>
      <c r="C134">
        <v>391</v>
      </c>
      <c r="D134">
        <v>2.2239430859999998</v>
      </c>
      <c r="E134">
        <f>VLOOKUP(B134,[1]Bernardino_Heuristic!$H:$I,2,FALSE)</f>
        <v>391</v>
      </c>
      <c r="F134" s="4">
        <f t="shared" si="2"/>
        <v>0</v>
      </c>
    </row>
    <row r="135" spans="1:6" x14ac:dyDescent="0.25">
      <c r="A135">
        <v>5000</v>
      </c>
      <c r="B135" t="s">
        <v>25</v>
      </c>
      <c r="C135">
        <v>467</v>
      </c>
      <c r="D135">
        <v>2.4575268956</v>
      </c>
      <c r="E135">
        <f>VLOOKUP(B135,[1]Bernardino_Heuristic!$H:$I,2,FALSE)</f>
        <v>476</v>
      </c>
      <c r="F135" s="4">
        <f t="shared" si="2"/>
        <v>-1.9271948608136968E-2</v>
      </c>
    </row>
    <row r="136" spans="1:6" x14ac:dyDescent="0.25">
      <c r="A136">
        <v>5000</v>
      </c>
      <c r="B136" t="s">
        <v>26</v>
      </c>
      <c r="C136">
        <v>473.4</v>
      </c>
      <c r="D136">
        <v>2.403433809</v>
      </c>
      <c r="E136">
        <f>VLOOKUP(B136,[1]Bernardino_Heuristic!$H:$I,2,FALSE)</f>
        <v>480</v>
      </c>
      <c r="F136" s="4">
        <f t="shared" si="2"/>
        <v>-1.3941698352344822E-2</v>
      </c>
    </row>
    <row r="137" spans="1:6" x14ac:dyDescent="0.25">
      <c r="A137">
        <v>5000</v>
      </c>
      <c r="B137" t="s">
        <v>27</v>
      </c>
      <c r="C137">
        <v>377</v>
      </c>
      <c r="D137">
        <v>1.0003760462</v>
      </c>
      <c r="E137">
        <f>VLOOKUP(B137,[1]Bernardino_Heuristic!$H:$I,2,FALSE)</f>
        <v>377</v>
      </c>
      <c r="F137" s="4">
        <f t="shared" si="2"/>
        <v>0</v>
      </c>
    </row>
    <row r="138" spans="1:6" x14ac:dyDescent="0.25">
      <c r="A138">
        <v>5000</v>
      </c>
      <c r="B138" t="s">
        <v>28</v>
      </c>
      <c r="C138">
        <v>474</v>
      </c>
      <c r="D138">
        <v>2.8764019232</v>
      </c>
      <c r="E138">
        <f>VLOOKUP(B138,[1]Bernardino_Heuristic!$H:$I,2,FALSE)</f>
        <v>474</v>
      </c>
      <c r="F138" s="4">
        <f t="shared" si="2"/>
        <v>0</v>
      </c>
    </row>
    <row r="139" spans="1:6" x14ac:dyDescent="0.25">
      <c r="A139">
        <v>5000</v>
      </c>
      <c r="B139" t="s">
        <v>29</v>
      </c>
      <c r="C139">
        <v>488</v>
      </c>
      <c r="D139">
        <v>1.8020821478</v>
      </c>
      <c r="E139">
        <f>VLOOKUP(B139,[1]Bernardino_Heuristic!$H:$I,2,FALSE)</f>
        <v>489</v>
      </c>
      <c r="F139" s="4">
        <f t="shared" si="2"/>
        <v>-2.049180327868827E-3</v>
      </c>
    </row>
    <row r="140" spans="1:6" x14ac:dyDescent="0.25">
      <c r="A140">
        <v>5000</v>
      </c>
      <c r="B140" t="s">
        <v>30</v>
      </c>
      <c r="C140">
        <v>545</v>
      </c>
      <c r="D140">
        <v>2.2373996435999999</v>
      </c>
      <c r="E140">
        <f>VLOOKUP(B140,[1]Bernardino_Heuristic!$H:$I,2,FALSE)</f>
        <v>548</v>
      </c>
      <c r="F140" s="4">
        <f t="shared" si="2"/>
        <v>-5.5045871559633586E-3</v>
      </c>
    </row>
    <row r="141" spans="1:6" x14ac:dyDescent="0.25">
      <c r="A141">
        <v>5000</v>
      </c>
      <c r="B141" t="s">
        <v>31</v>
      </c>
      <c r="C141">
        <v>583</v>
      </c>
      <c r="D141">
        <v>1.7952758691999999</v>
      </c>
      <c r="E141">
        <f>VLOOKUP(B141,[1]Bernardino_Heuristic!$H:$I,2,FALSE)</f>
        <v>583</v>
      </c>
      <c r="F141" s="4">
        <f t="shared" si="2"/>
        <v>0</v>
      </c>
    </row>
    <row r="142" spans="1:6" x14ac:dyDescent="0.25">
      <c r="A142">
        <v>5000</v>
      </c>
      <c r="B142" t="s">
        <v>32</v>
      </c>
      <c r="C142">
        <v>397</v>
      </c>
      <c r="D142">
        <v>2.8017302289999901</v>
      </c>
      <c r="E142">
        <f>VLOOKUP(B142,[1]Bernardino_Heuristic!$H:$I,2,FALSE)</f>
        <v>397</v>
      </c>
      <c r="F142" s="4">
        <f t="shared" si="2"/>
        <v>0</v>
      </c>
    </row>
    <row r="143" spans="1:6" x14ac:dyDescent="0.25">
      <c r="A143">
        <v>5000</v>
      </c>
      <c r="B143" t="s">
        <v>33</v>
      </c>
      <c r="C143">
        <v>658</v>
      </c>
      <c r="D143">
        <v>4.2506695305999997</v>
      </c>
      <c r="E143">
        <f>VLOOKUP(B143,[1]Bernardino_Heuristic!$H:$I,2,FALSE)</f>
        <v>665</v>
      </c>
      <c r="F143" s="4">
        <f t="shared" si="2"/>
        <v>-1.0638297872340496E-2</v>
      </c>
    </row>
    <row r="144" spans="1:6" x14ac:dyDescent="0.25">
      <c r="A144">
        <v>5000</v>
      </c>
      <c r="B144" t="s">
        <v>34</v>
      </c>
      <c r="C144">
        <v>606</v>
      </c>
      <c r="D144">
        <v>2.756603358</v>
      </c>
      <c r="E144">
        <f>VLOOKUP(B144,[1]Bernardino_Heuristic!$H:$I,2,FALSE)</f>
        <v>613</v>
      </c>
      <c r="F144" s="4">
        <f t="shared" si="2"/>
        <v>-1.1551155115511635E-2</v>
      </c>
    </row>
    <row r="145" spans="1:6" x14ac:dyDescent="0.25">
      <c r="A145">
        <v>5000</v>
      </c>
      <c r="B145" t="s">
        <v>35</v>
      </c>
      <c r="C145">
        <v>614</v>
      </c>
      <c r="D145">
        <v>2.9673089975999898</v>
      </c>
      <c r="E145">
        <f>VLOOKUP(B145,[1]Bernardino_Heuristic!$H:$I,2,FALSE)</f>
        <v>627</v>
      </c>
      <c r="F145" s="4">
        <f t="shared" si="2"/>
        <v>-2.1172638436482094E-2</v>
      </c>
    </row>
    <row r="146" spans="1:6" hidden="1" x14ac:dyDescent="0.25">
      <c r="A146">
        <v>10000</v>
      </c>
      <c r="B146" t="s">
        <v>0</v>
      </c>
      <c r="C146">
        <v>328</v>
      </c>
      <c r="D146">
        <v>9.8263761134000003</v>
      </c>
      <c r="E146">
        <f>VLOOKUP(B146,[1]Bernardino_Heuristic!$H:$I,2,FALSE)</f>
        <v>339</v>
      </c>
      <c r="F146" s="4">
        <f t="shared" si="2"/>
        <v>-3.3536585365853577E-2</v>
      </c>
    </row>
    <row r="147" spans="1:6" hidden="1" x14ac:dyDescent="0.25">
      <c r="A147">
        <v>10000</v>
      </c>
      <c r="B147" t="s">
        <v>1</v>
      </c>
      <c r="C147">
        <v>198</v>
      </c>
      <c r="D147">
        <v>4.6067962297999996</v>
      </c>
      <c r="E147">
        <f>VLOOKUP(B147,[1]Bernardino_Heuristic!$H:$I,2,FALSE)</f>
        <v>208</v>
      </c>
      <c r="F147" s="4">
        <f t="shared" si="2"/>
        <v>-5.0505050505050608E-2</v>
      </c>
    </row>
    <row r="148" spans="1:6" hidden="1" x14ac:dyDescent="0.25">
      <c r="A148">
        <v>10000</v>
      </c>
      <c r="B148" t="s">
        <v>2</v>
      </c>
      <c r="C148">
        <v>334</v>
      </c>
      <c r="D148">
        <v>4.5213804201999999</v>
      </c>
      <c r="E148">
        <f>VLOOKUP(B148,[1]Bernardino_Heuristic!$H:$I,2,FALSE)</f>
        <v>350</v>
      </c>
      <c r="F148" s="4">
        <f t="shared" si="2"/>
        <v>-4.7904191616766401E-2</v>
      </c>
    </row>
    <row r="149" spans="1:6" hidden="1" x14ac:dyDescent="0.25">
      <c r="A149">
        <v>10000</v>
      </c>
      <c r="B149" t="s">
        <v>3</v>
      </c>
      <c r="C149">
        <v>518</v>
      </c>
      <c r="D149">
        <v>34.214822376800001</v>
      </c>
      <c r="E149">
        <f>VLOOKUP(B149,[1]Bernardino_Heuristic!$H:$I,2,FALSE)</f>
        <v>549</v>
      </c>
      <c r="F149" s="4">
        <f t="shared" si="2"/>
        <v>-5.9845559845559837E-2</v>
      </c>
    </row>
    <row r="150" spans="1:6" hidden="1" x14ac:dyDescent="0.25">
      <c r="A150">
        <v>10000</v>
      </c>
      <c r="B150" t="s">
        <v>4</v>
      </c>
      <c r="C150">
        <v>469.2</v>
      </c>
      <c r="D150">
        <v>26.692637377600001</v>
      </c>
      <c r="E150">
        <f>VLOOKUP(B150,[1]Bernardino_Heuristic!$H:$I,2,FALSE)</f>
        <v>499</v>
      </c>
      <c r="F150" s="4">
        <f t="shared" si="2"/>
        <v>-6.3512361466325773E-2</v>
      </c>
    </row>
    <row r="151" spans="1:6" hidden="1" x14ac:dyDescent="0.25">
      <c r="A151">
        <v>10000</v>
      </c>
      <c r="B151" t="s">
        <v>5</v>
      </c>
      <c r="C151">
        <v>432</v>
      </c>
      <c r="D151">
        <v>10.380685582</v>
      </c>
      <c r="E151">
        <f>VLOOKUP(B151,[1]Bernardino_Heuristic!$H:$I,2,FALSE)</f>
        <v>453</v>
      </c>
      <c r="F151" s="4">
        <f t="shared" si="2"/>
        <v>-4.861111111111116E-2</v>
      </c>
    </row>
    <row r="152" spans="1:6" hidden="1" x14ac:dyDescent="0.25">
      <c r="A152">
        <v>10000</v>
      </c>
      <c r="B152" t="s">
        <v>6</v>
      </c>
      <c r="C152">
        <v>424</v>
      </c>
      <c r="D152">
        <v>12.2563116523999</v>
      </c>
      <c r="E152">
        <f>VLOOKUP(B152,[1]Bernardino_Heuristic!$H:$I,2,FALSE)</f>
        <v>446</v>
      </c>
      <c r="F152" s="4">
        <f t="shared" si="2"/>
        <v>-5.1886792452830122E-2</v>
      </c>
    </row>
    <row r="153" spans="1:6" hidden="1" x14ac:dyDescent="0.25">
      <c r="A153">
        <v>10000</v>
      </c>
      <c r="B153" t="s">
        <v>7</v>
      </c>
      <c r="C153">
        <v>495.6</v>
      </c>
      <c r="D153">
        <v>12.934465495</v>
      </c>
      <c r="E153">
        <f>VLOOKUP(B153,[1]Bernardino_Heuristic!$H:$I,2,FALSE)</f>
        <v>510</v>
      </c>
      <c r="F153" s="4">
        <f t="shared" si="2"/>
        <v>-2.9055690072639084E-2</v>
      </c>
    </row>
    <row r="154" spans="1:6" hidden="1" x14ac:dyDescent="0.25">
      <c r="A154">
        <v>10000</v>
      </c>
      <c r="B154" t="s">
        <v>8</v>
      </c>
      <c r="C154">
        <v>465.4</v>
      </c>
      <c r="D154">
        <v>9.5409911881999996</v>
      </c>
      <c r="E154">
        <f>VLOOKUP(B154,[1]Bernardino_Heuristic!$H:$I,2,FALSE)</f>
        <v>487</v>
      </c>
      <c r="F154" s="4">
        <f t="shared" si="2"/>
        <v>-4.6411688869789414E-2</v>
      </c>
    </row>
    <row r="155" spans="1:6" hidden="1" x14ac:dyDescent="0.25">
      <c r="A155">
        <v>10000</v>
      </c>
      <c r="B155" t="s">
        <v>9</v>
      </c>
      <c r="C155">
        <v>542.79999999999995</v>
      </c>
      <c r="D155">
        <v>11.6461921602</v>
      </c>
      <c r="E155">
        <f>VLOOKUP(B155,[1]Bernardino_Heuristic!$H:$I,2,FALSE)</f>
        <v>561</v>
      </c>
      <c r="F155" s="4">
        <f t="shared" si="2"/>
        <v>-3.3529845246868195E-2</v>
      </c>
    </row>
    <row r="156" spans="1:6" hidden="1" x14ac:dyDescent="0.25">
      <c r="A156">
        <v>10000</v>
      </c>
      <c r="B156" t="s">
        <v>10</v>
      </c>
      <c r="C156">
        <v>615</v>
      </c>
      <c r="D156">
        <v>22.578309824999899</v>
      </c>
      <c r="E156">
        <f>VLOOKUP(B156,[1]Bernardino_Heuristic!$H:$I,2,FALSE)</f>
        <v>640</v>
      </c>
      <c r="F156" s="4">
        <f t="shared" si="2"/>
        <v>-4.0650406504065151E-2</v>
      </c>
    </row>
    <row r="157" spans="1:6" hidden="1" x14ac:dyDescent="0.25">
      <c r="A157">
        <v>10000</v>
      </c>
      <c r="B157" t="s">
        <v>11</v>
      </c>
      <c r="C157">
        <v>638</v>
      </c>
      <c r="D157">
        <v>24.496184467799999</v>
      </c>
      <c r="E157">
        <f>VLOOKUP(B157,[1]Bernardino_Heuristic!$H:$I,2,FALSE)</f>
        <v>662</v>
      </c>
      <c r="F157" s="4">
        <f t="shared" si="2"/>
        <v>-3.7617554858934144E-2</v>
      </c>
    </row>
    <row r="158" spans="1:6" hidden="1" x14ac:dyDescent="0.25">
      <c r="A158">
        <v>10000</v>
      </c>
      <c r="B158" t="s">
        <v>12</v>
      </c>
      <c r="C158">
        <v>756</v>
      </c>
      <c r="D158">
        <v>8.9386010969999994</v>
      </c>
      <c r="E158">
        <f>VLOOKUP(B158,[1]Bernardino_Heuristic!$H:$I,2,FALSE)</f>
        <v>757</v>
      </c>
      <c r="F158" s="4">
        <f t="shared" si="2"/>
        <v>-1.3227513227513921E-3</v>
      </c>
    </row>
    <row r="159" spans="1:6" hidden="1" x14ac:dyDescent="0.25">
      <c r="A159">
        <v>10000</v>
      </c>
      <c r="B159" t="s">
        <v>13</v>
      </c>
      <c r="C159">
        <v>693</v>
      </c>
      <c r="D159">
        <v>6.0187589099999999</v>
      </c>
      <c r="E159">
        <f>VLOOKUP(B159,[1]Bernardino_Heuristic!$H:$I,2,FALSE)</f>
        <v>693</v>
      </c>
      <c r="F159" s="4">
        <f t="shared" si="2"/>
        <v>0</v>
      </c>
    </row>
    <row r="160" spans="1:6" hidden="1" x14ac:dyDescent="0.25">
      <c r="A160">
        <v>10000</v>
      </c>
      <c r="B160" t="s">
        <v>14</v>
      </c>
      <c r="C160">
        <v>660</v>
      </c>
      <c r="D160">
        <v>4.9279541527999999</v>
      </c>
      <c r="E160">
        <f>VLOOKUP(B160,[1]Bernardino_Heuristic!$H:$I,2,FALSE)</f>
        <v>665</v>
      </c>
      <c r="F160" s="4">
        <f t="shared" si="2"/>
        <v>-7.575757575757569E-3</v>
      </c>
    </row>
    <row r="161" spans="1:6" hidden="1" x14ac:dyDescent="0.25">
      <c r="A161">
        <v>10000</v>
      </c>
      <c r="B161" t="s">
        <v>15</v>
      </c>
      <c r="C161">
        <v>709</v>
      </c>
      <c r="D161">
        <v>4.7203264559999996</v>
      </c>
      <c r="E161">
        <f>VLOOKUP(B161,[1]Bernardino_Heuristic!$H:$I,2,FALSE)</f>
        <v>709</v>
      </c>
      <c r="F161" s="4">
        <f t="shared" si="2"/>
        <v>0</v>
      </c>
    </row>
    <row r="162" spans="1:6" hidden="1" x14ac:dyDescent="0.25">
      <c r="A162">
        <v>10000</v>
      </c>
      <c r="B162" t="s">
        <v>16</v>
      </c>
      <c r="C162">
        <v>761</v>
      </c>
      <c r="D162">
        <v>4.5446915303999997</v>
      </c>
      <c r="E162">
        <f>VLOOKUP(B162,[1]Bernardino_Heuristic!$H:$I,2,FALSE)</f>
        <v>761</v>
      </c>
      <c r="F162" s="4">
        <f t="shared" si="2"/>
        <v>0</v>
      </c>
    </row>
    <row r="163" spans="1:6" hidden="1" x14ac:dyDescent="0.25">
      <c r="A163">
        <v>10000</v>
      </c>
      <c r="B163" t="s">
        <v>17</v>
      </c>
      <c r="C163">
        <v>853</v>
      </c>
      <c r="D163">
        <v>6.3249647645999998</v>
      </c>
      <c r="E163">
        <f>VLOOKUP(B163,[1]Bernardino_Heuristic!$H:$I,2,FALSE)</f>
        <v>853</v>
      </c>
      <c r="F163" s="4">
        <f t="shared" si="2"/>
        <v>0</v>
      </c>
    </row>
    <row r="164" spans="1:6" hidden="1" x14ac:dyDescent="0.25">
      <c r="A164">
        <v>10000</v>
      </c>
      <c r="B164" t="s">
        <v>18</v>
      </c>
      <c r="C164">
        <v>938</v>
      </c>
      <c r="D164">
        <v>8.9584964175999993</v>
      </c>
      <c r="E164">
        <f>VLOOKUP(B164,[1]Bernardino_Heuristic!$H:$I,2,FALSE)</f>
        <v>938</v>
      </c>
      <c r="F164" s="4">
        <f t="shared" si="2"/>
        <v>0</v>
      </c>
    </row>
    <row r="165" spans="1:6" hidden="1" x14ac:dyDescent="0.25">
      <c r="A165">
        <v>10000</v>
      </c>
      <c r="B165" t="s">
        <v>19</v>
      </c>
      <c r="C165">
        <v>992</v>
      </c>
      <c r="D165">
        <v>6.0567298226000004</v>
      </c>
      <c r="E165">
        <f>VLOOKUP(B165,[1]Bernardino_Heuristic!$H:$I,2,FALSE)</f>
        <v>995</v>
      </c>
      <c r="F165" s="4">
        <f t="shared" si="2"/>
        <v>-3.0241935483870108E-3</v>
      </c>
    </row>
    <row r="166" spans="1:6" hidden="1" x14ac:dyDescent="0.25">
      <c r="A166">
        <v>10000</v>
      </c>
      <c r="B166" t="s">
        <v>20</v>
      </c>
      <c r="C166">
        <v>215</v>
      </c>
      <c r="D166">
        <v>2.3384939440000001</v>
      </c>
      <c r="E166">
        <f>VLOOKUP(B166,[1]Bernardino_Heuristic!$H:$I,2,FALSE)</f>
        <v>215</v>
      </c>
      <c r="F166" s="4">
        <f t="shared" si="2"/>
        <v>0</v>
      </c>
    </row>
    <row r="167" spans="1:6" hidden="1" x14ac:dyDescent="0.25">
      <c r="A167">
        <v>10000</v>
      </c>
      <c r="B167" t="s">
        <v>21</v>
      </c>
      <c r="C167">
        <v>308</v>
      </c>
      <c r="D167">
        <v>1.8383899299999999</v>
      </c>
      <c r="E167">
        <f>VLOOKUP(B167,[1]Bernardino_Heuristic!$H:$I,2,FALSE)</f>
        <v>308</v>
      </c>
      <c r="F167" s="4">
        <f t="shared" si="2"/>
        <v>0</v>
      </c>
    </row>
    <row r="168" spans="1:6" hidden="1" x14ac:dyDescent="0.25">
      <c r="A168">
        <v>10000</v>
      </c>
      <c r="B168" t="s">
        <v>22</v>
      </c>
      <c r="C168">
        <v>319</v>
      </c>
      <c r="D168">
        <v>6.3226433675999996</v>
      </c>
      <c r="E168">
        <f>VLOOKUP(B168,[1]Bernardino_Heuristic!$H:$I,2,FALSE)</f>
        <v>321</v>
      </c>
      <c r="F168" s="4">
        <f t="shared" si="2"/>
        <v>-6.2695924764890609E-3</v>
      </c>
    </row>
    <row r="169" spans="1:6" hidden="1" x14ac:dyDescent="0.25">
      <c r="A169">
        <v>10000</v>
      </c>
      <c r="B169" t="s">
        <v>23</v>
      </c>
      <c r="C169">
        <v>257</v>
      </c>
      <c r="D169">
        <v>2.7074809557999999</v>
      </c>
      <c r="E169">
        <f>VLOOKUP(B169,[1]Bernardino_Heuristic!$H:$I,2,FALSE)</f>
        <v>257</v>
      </c>
      <c r="F169" s="4">
        <f t="shared" si="2"/>
        <v>0</v>
      </c>
    </row>
    <row r="170" spans="1:6" hidden="1" x14ac:dyDescent="0.25">
      <c r="A170">
        <v>10000</v>
      </c>
      <c r="B170" t="s">
        <v>24</v>
      </c>
      <c r="C170">
        <v>391</v>
      </c>
      <c r="D170">
        <v>3.9989289488000002</v>
      </c>
      <c r="E170">
        <f>VLOOKUP(B170,[1]Bernardino_Heuristic!$H:$I,2,FALSE)</f>
        <v>391</v>
      </c>
      <c r="F170" s="4">
        <f t="shared" si="2"/>
        <v>0</v>
      </c>
    </row>
    <row r="171" spans="1:6" hidden="1" x14ac:dyDescent="0.25">
      <c r="A171">
        <v>10000</v>
      </c>
      <c r="B171" t="s">
        <v>25</v>
      </c>
      <c r="C171">
        <v>467</v>
      </c>
      <c r="D171">
        <v>4.3822711217999997</v>
      </c>
      <c r="E171">
        <f>VLOOKUP(B171,[1]Bernardino_Heuristic!$H:$I,2,FALSE)</f>
        <v>476</v>
      </c>
      <c r="F171" s="4">
        <f t="shared" si="2"/>
        <v>-1.9271948608136968E-2</v>
      </c>
    </row>
    <row r="172" spans="1:6" hidden="1" x14ac:dyDescent="0.25">
      <c r="A172">
        <v>10000</v>
      </c>
      <c r="B172" t="s">
        <v>26</v>
      </c>
      <c r="C172">
        <v>473</v>
      </c>
      <c r="D172">
        <v>4.2457069153999996</v>
      </c>
      <c r="E172">
        <f>VLOOKUP(B172,[1]Bernardino_Heuristic!$H:$I,2,FALSE)</f>
        <v>480</v>
      </c>
      <c r="F172" s="4">
        <f t="shared" si="2"/>
        <v>-1.4799154334038001E-2</v>
      </c>
    </row>
    <row r="173" spans="1:6" hidden="1" x14ac:dyDescent="0.25">
      <c r="A173">
        <v>10000</v>
      </c>
      <c r="B173" t="s">
        <v>27</v>
      </c>
      <c r="C173">
        <v>377</v>
      </c>
      <c r="D173">
        <v>1.8610708164</v>
      </c>
      <c r="E173">
        <f>VLOOKUP(B173,[1]Bernardino_Heuristic!$H:$I,2,FALSE)</f>
        <v>377</v>
      </c>
      <c r="F173" s="4">
        <f t="shared" si="2"/>
        <v>0</v>
      </c>
    </row>
    <row r="174" spans="1:6" hidden="1" x14ac:dyDescent="0.25">
      <c r="A174">
        <v>10000</v>
      </c>
      <c r="B174" t="s">
        <v>28</v>
      </c>
      <c r="C174">
        <v>474</v>
      </c>
      <c r="D174">
        <v>4.4297773691999902</v>
      </c>
      <c r="E174">
        <f>VLOOKUP(B174,[1]Bernardino_Heuristic!$H:$I,2,FALSE)</f>
        <v>474</v>
      </c>
      <c r="F174" s="4">
        <f t="shared" si="2"/>
        <v>0</v>
      </c>
    </row>
    <row r="175" spans="1:6" hidden="1" x14ac:dyDescent="0.25">
      <c r="A175">
        <v>10000</v>
      </c>
      <c r="B175" t="s">
        <v>29</v>
      </c>
      <c r="C175">
        <v>488</v>
      </c>
      <c r="D175">
        <v>3.6552840627999998</v>
      </c>
      <c r="E175">
        <f>VLOOKUP(B175,[1]Bernardino_Heuristic!$H:$I,2,FALSE)</f>
        <v>489</v>
      </c>
      <c r="F175" s="4">
        <f t="shared" si="2"/>
        <v>-2.049180327868827E-3</v>
      </c>
    </row>
    <row r="176" spans="1:6" hidden="1" x14ac:dyDescent="0.25">
      <c r="A176">
        <v>10000</v>
      </c>
      <c r="B176" t="s">
        <v>30</v>
      </c>
      <c r="C176">
        <v>545</v>
      </c>
      <c r="D176">
        <v>3.5354128275999899</v>
      </c>
      <c r="E176">
        <f>VLOOKUP(B176,[1]Bernardino_Heuristic!$H:$I,2,FALSE)</f>
        <v>548</v>
      </c>
      <c r="F176" s="4">
        <f t="shared" si="2"/>
        <v>-5.5045871559633586E-3</v>
      </c>
    </row>
    <row r="177" spans="1:6" hidden="1" x14ac:dyDescent="0.25">
      <c r="A177">
        <v>10000</v>
      </c>
      <c r="B177" t="s">
        <v>31</v>
      </c>
      <c r="C177">
        <v>583</v>
      </c>
      <c r="D177">
        <v>3.3194552104000001</v>
      </c>
      <c r="E177">
        <f>VLOOKUP(B177,[1]Bernardino_Heuristic!$H:$I,2,FALSE)</f>
        <v>583</v>
      </c>
      <c r="F177" s="4">
        <f t="shared" si="2"/>
        <v>0</v>
      </c>
    </row>
    <row r="178" spans="1:6" hidden="1" x14ac:dyDescent="0.25">
      <c r="A178">
        <v>10000</v>
      </c>
      <c r="B178" t="s">
        <v>32</v>
      </c>
      <c r="C178">
        <v>397</v>
      </c>
      <c r="D178">
        <v>5.3004725714000003</v>
      </c>
      <c r="E178">
        <f>VLOOKUP(B178,[1]Bernardino_Heuristic!$H:$I,2,FALSE)</f>
        <v>397</v>
      </c>
      <c r="F178" s="4">
        <f t="shared" si="2"/>
        <v>0</v>
      </c>
    </row>
    <row r="179" spans="1:6" hidden="1" x14ac:dyDescent="0.25">
      <c r="A179">
        <v>10000</v>
      </c>
      <c r="B179" t="s">
        <v>33</v>
      </c>
      <c r="C179">
        <v>658</v>
      </c>
      <c r="D179">
        <v>6.8092775731999904</v>
      </c>
      <c r="E179">
        <f>VLOOKUP(B179,[1]Bernardino_Heuristic!$H:$I,2,FALSE)</f>
        <v>665</v>
      </c>
      <c r="F179" s="4">
        <f t="shared" si="2"/>
        <v>-1.0638297872340496E-2</v>
      </c>
    </row>
    <row r="180" spans="1:6" hidden="1" x14ac:dyDescent="0.25">
      <c r="A180">
        <v>10000</v>
      </c>
      <c r="B180" t="s">
        <v>34</v>
      </c>
      <c r="C180">
        <v>606</v>
      </c>
      <c r="D180">
        <v>3.9846926248000001</v>
      </c>
      <c r="E180">
        <f>VLOOKUP(B180,[1]Bernardino_Heuristic!$H:$I,2,FALSE)</f>
        <v>613</v>
      </c>
      <c r="F180" s="4">
        <f t="shared" si="2"/>
        <v>-1.1551155115511635E-2</v>
      </c>
    </row>
    <row r="181" spans="1:6" hidden="1" x14ac:dyDescent="0.25">
      <c r="A181">
        <v>10000</v>
      </c>
      <c r="B181" t="s">
        <v>35</v>
      </c>
      <c r="C181">
        <v>614</v>
      </c>
      <c r="D181">
        <v>3.4990181640000002</v>
      </c>
      <c r="E181">
        <f>VLOOKUP(B181,[1]Bernardino_Heuristic!$H:$I,2,FALSE)</f>
        <v>627</v>
      </c>
      <c r="F181" s="4">
        <f t="shared" si="2"/>
        <v>-2.1172638436482094E-2</v>
      </c>
    </row>
  </sheetData>
  <autoFilter ref="A1:F181" xr:uid="{3B29A11E-FF56-4320-8AC3-7600F8FD589B}">
    <filterColumn colId="0">
      <filters>
        <filter val="5000"/>
      </filters>
    </filterColumn>
  </autoFilter>
  <pageMargins left="0.511811024" right="0.511811024" top="0.78740157499999996" bottom="0.78740157499999996" header="0.31496062000000002" footer="0.31496062000000002"/>
  <headerFooter>
    <oddHeader>&amp;R&amp;"Calibri"&amp;10&amp;K000000 RESERVADA&amp;1#_x000D_</oddHeader>
  </headerFooter>
</worksheet>
</file>

<file path=docMetadata/LabelInfo.xml><?xml version="1.0" encoding="utf-8"?>
<clbl:labelList xmlns:clbl="http://schemas.microsoft.com/office/2020/mipLabelMetadata">
  <clbl:label id="{42b66124-a1d6-4497-af90-9aa374c7a233}" enabled="1" method="Standard" siteId="{e316d1ac-42c8-4d30-817c-12c7a71f8ab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>americanas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Davi Mattos De Oliveira</dc:creator>
  <cp:lastModifiedBy>Bruno Davi Mattos De Oliveira</cp:lastModifiedBy>
  <dcterms:created xsi:type="dcterms:W3CDTF">2025-10-29T12:03:02Z</dcterms:created>
  <dcterms:modified xsi:type="dcterms:W3CDTF">2025-10-29T12:10:23Z</dcterms:modified>
</cp:coreProperties>
</file>